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68CF1A8-1B0A-4247-B3C6-3FDF4699382A}" xr6:coauthVersionLast="47" xr6:coauthVersionMax="47" xr10:uidLastSave="{00000000-0000-0000-0000-000000000000}"/>
  <bookViews>
    <workbookView xWindow="-98" yWindow="-98" windowWidth="23236" windowHeight="13996" xr2:uid="{00000000-000D-0000-FFFF-FFFF00000000}"/>
  </bookViews>
  <sheets>
    <sheet name="Sheet1" sheetId="1" r:id="rId1"/>
    <sheet name="Sheet2" sheetId="2" r:id="rId2"/>
    <sheet name="Sheet3" sheetId="3" r:id="rId3"/>
  </sheets>
  <calcPr calcId="191029" calcMode="manual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 a="1"/>
  <c r="B3" i="3" s="1"/>
  <c r="C3" i="3" a="1"/>
  <c r="C3" i="3" s="1"/>
  <c r="D3" i="3" a="1"/>
  <c r="D3" i="3" s="1"/>
  <c r="E3" i="3" a="1"/>
  <c r="E3" i="3" s="1"/>
  <c r="F3" i="3" a="1"/>
  <c r="F3" i="3" s="1"/>
  <c r="G3" i="3" a="1"/>
  <c r="G3" i="3" s="1"/>
  <c r="H3" i="3" a="1"/>
  <c r="H3" i="3" s="1"/>
  <c r="I3" i="3" a="1"/>
  <c r="I3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/>
  <c r="U3" i="3" a="1"/>
  <c r="U3" i="3" s="1"/>
  <c r="V3" i="3" a="1"/>
  <c r="V3" i="3" s="1"/>
  <c r="W3" i="3" a="1"/>
  <c r="W3" i="3" s="1"/>
  <c r="X3" i="3" a="1"/>
  <c r="X3" i="3" s="1"/>
  <c r="Y3" i="3" a="1"/>
  <c r="Y3" i="3" s="1"/>
  <c r="Z3" i="3" a="1"/>
  <c r="Z3" i="3" s="1"/>
  <c r="AA3" i="3" a="1"/>
  <c r="AA3" i="3" s="1"/>
  <c r="AB3" i="3" a="1"/>
  <c r="AB3" i="3" s="1"/>
  <c r="AC3" i="3" a="1"/>
  <c r="AC3" i="3" s="1"/>
  <c r="AD3" i="3" a="1"/>
  <c r="AD3" i="3" s="1"/>
  <c r="AE3" i="3" a="1"/>
  <c r="AE3" i="3" s="1"/>
  <c r="B4" i="3" a="1"/>
  <c r="B4" i="3" s="1"/>
  <c r="C4" i="3" a="1"/>
  <c r="C4" i="3" s="1"/>
  <c r="D4" i="3" a="1"/>
  <c r="D4" i="3" s="1"/>
  <c r="E4" i="3" a="1"/>
  <c r="E4" i="3" s="1"/>
  <c r="F4" i="3" a="1"/>
  <c r="F4" i="3" s="1"/>
  <c r="G4" i="3" a="1"/>
  <c r="G4" i="3" s="1"/>
  <c r="H4" i="3" a="1"/>
  <c r="H4" i="3" s="1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Y4" i="3" a="1"/>
  <c r="Y4" i="3" s="1"/>
  <c r="Z4" i="3" a="1"/>
  <c r="Z4" i="3" s="1"/>
  <c r="AA4" i="3" a="1"/>
  <c r="AA4" i="3" s="1"/>
  <c r="AB4" i="3" a="1"/>
  <c r="AB4" i="3" s="1"/>
  <c r="AC4" i="3" a="1"/>
  <c r="AC4" i="3" s="1"/>
  <c r="AD4" i="3" a="1"/>
  <c r="AD4" i="3" s="1"/>
  <c r="AE4" i="3" a="1"/>
  <c r="AE4" i="3" s="1"/>
  <c r="B5" i="3" a="1"/>
  <c r="B5" i="3" s="1"/>
  <c r="C5" i="3" a="1"/>
  <c r="C5" i="3" s="1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Y5" i="3" a="1"/>
  <c r="Y5" i="3" s="1"/>
  <c r="Z5" i="3" a="1"/>
  <c r="Z5" i="3" s="1"/>
  <c r="AA5" i="3" a="1"/>
  <c r="AA5" i="3" s="1"/>
  <c r="AB5" i="3" a="1"/>
  <c r="AB5" i="3" s="1"/>
  <c r="AC5" i="3" a="1"/>
  <c r="AC5" i="3" s="1"/>
  <c r="AD5" i="3" a="1"/>
  <c r="AD5" i="3" s="1"/>
  <c r="AE5" i="3" a="1"/>
  <c r="AE5" i="3" s="1"/>
  <c r="B6" i="3" a="1"/>
  <c r="B6" i="3" s="1"/>
  <c r="C6" i="3" a="1"/>
  <c r="C6" i="3" s="1"/>
  <c r="D6" i="3" a="1"/>
  <c r="D6" i="3" s="1"/>
  <c r="E6" i="3" a="1"/>
  <c r="E6" i="3" s="1"/>
  <c r="F6" i="3" a="1"/>
  <c r="F6" i="3" s="1"/>
  <c r="G6" i="3" a="1"/>
  <c r="G6" i="3" s="1"/>
  <c r="H6" i="3" a="1"/>
  <c r="H6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Y6" i="3" a="1"/>
  <c r="Y6" i="3" s="1"/>
  <c r="Z6" i="3" a="1"/>
  <c r="Z6" i="3" s="1"/>
  <c r="AA6" i="3" a="1"/>
  <c r="AA6" i="3" s="1"/>
  <c r="AB6" i="3" a="1"/>
  <c r="AB6" i="3" s="1"/>
  <c r="AC6" i="3" a="1"/>
  <c r="AC6" i="3" s="1"/>
  <c r="AD6" i="3" a="1"/>
  <c r="AD6" i="3" s="1"/>
  <c r="AE6" i="3" a="1"/>
  <c r="AE6" i="3" s="1"/>
  <c r="B7" i="3" a="1"/>
  <c r="B7" i="3" s="1"/>
  <c r="C7" i="3" a="1"/>
  <c r="C7" i="3" s="1"/>
  <c r="D7" i="3" a="1"/>
  <c r="D7" i="3" s="1"/>
  <c r="E7" i="3" a="1"/>
  <c r="E7" i="3" s="1"/>
  <c r="F7" i="3" a="1"/>
  <c r="F7" i="3" s="1"/>
  <c r="G7" i="3" a="1"/>
  <c r="G7" i="3" s="1"/>
  <c r="H7" i="3" a="1"/>
  <c r="H7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Y7" i="3" a="1"/>
  <c r="Y7" i="3" s="1"/>
  <c r="Z7" i="3" a="1"/>
  <c r="Z7" i="3" s="1"/>
  <c r="AA7" i="3" a="1"/>
  <c r="AA7" i="3" s="1"/>
  <c r="AB7" i="3" a="1"/>
  <c r="AB7" i="3" s="1"/>
  <c r="AC7" i="3" a="1"/>
  <c r="AC7" i="3" s="1"/>
  <c r="AD7" i="3" a="1"/>
  <c r="AD7" i="3" s="1"/>
  <c r="AE7" i="3" a="1"/>
  <c r="AE7" i="3" s="1"/>
  <c r="B8" i="3" a="1"/>
  <c r="B8" i="3" s="1"/>
  <c r="C8" i="3" a="1"/>
  <c r="C8" i="3" s="1"/>
  <c r="D8" i="3" a="1"/>
  <c r="D8" i="3" s="1"/>
  <c r="E8" i="3" a="1"/>
  <c r="E8" i="3" s="1"/>
  <c r="F8" i="3" a="1"/>
  <c r="F8" i="3" s="1"/>
  <c r="G8" i="3" a="1"/>
  <c r="G8" i="3" s="1"/>
  <c r="H8" i="3" a="1"/>
  <c r="H8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Y8" i="3" a="1"/>
  <c r="Y8" i="3" s="1"/>
  <c r="Z8" i="3" a="1"/>
  <c r="Z8" i="3" s="1"/>
  <c r="AA8" i="3" a="1"/>
  <c r="AA8" i="3" s="1"/>
  <c r="AB8" i="3" a="1"/>
  <c r="AB8" i="3" s="1"/>
  <c r="AC8" i="3" a="1"/>
  <c r="AC8" i="3" s="1"/>
  <c r="AD8" i="3" a="1"/>
  <c r="AD8" i="3" s="1"/>
  <c r="AE8" i="3" a="1"/>
  <c r="AE8" i="3" s="1"/>
  <c r="B9" i="3" a="1"/>
  <c r="B9" i="3" s="1"/>
  <c r="C9" i="3" a="1"/>
  <c r="C9" i="3" s="1"/>
  <c r="D9" i="3" a="1"/>
  <c r="D9" i="3" s="1"/>
  <c r="E9" i="3" a="1"/>
  <c r="E9" i="3" s="1"/>
  <c r="F9" i="3" a="1"/>
  <c r="F9" i="3" s="1"/>
  <c r="G9" i="3" a="1"/>
  <c r="G9" i="3" s="1"/>
  <c r="H9" i="3" a="1"/>
  <c r="H9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Y9" i="3" a="1"/>
  <c r="Y9" i="3" s="1"/>
  <c r="Z9" i="3" a="1"/>
  <c r="Z9" i="3" s="1"/>
  <c r="AA9" i="3" a="1"/>
  <c r="AA9" i="3" s="1"/>
  <c r="AB9" i="3" a="1"/>
  <c r="AB9" i="3" s="1"/>
  <c r="AC9" i="3" a="1"/>
  <c r="AC9" i="3" s="1"/>
  <c r="AD9" i="3" a="1"/>
  <c r="AD9" i="3" s="1"/>
  <c r="AE9" i="3" a="1"/>
  <c r="AE9" i="3" s="1"/>
  <c r="B10" i="3" a="1"/>
  <c r="B10" i="3" s="1"/>
  <c r="C10" i="3" a="1"/>
  <c r="C10" i="3" s="1"/>
  <c r="D10" i="3" a="1"/>
  <c r="D10" i="3" s="1"/>
  <c r="E10" i="3" a="1"/>
  <c r="E10" i="3" s="1"/>
  <c r="F10" i="3" a="1"/>
  <c r="F10" i="3" s="1"/>
  <c r="G10" i="3" a="1"/>
  <c r="G10" i="3" s="1"/>
  <c r="H10" i="3" a="1"/>
  <c r="H10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Y10" i="3" a="1"/>
  <c r="Y10" i="3" s="1"/>
  <c r="Z10" i="3" a="1"/>
  <c r="Z10" i="3" s="1"/>
  <c r="AA10" i="3" a="1"/>
  <c r="AA10" i="3" s="1"/>
  <c r="AB10" i="3" a="1"/>
  <c r="AB10" i="3" s="1"/>
  <c r="AC10" i="3" a="1"/>
  <c r="AC10" i="3" s="1"/>
  <c r="AD10" i="3" a="1"/>
  <c r="AD10" i="3" s="1"/>
  <c r="AE10" i="3" a="1"/>
  <c r="AE10" i="3" s="1"/>
  <c r="B11" i="3" a="1"/>
  <c r="B11" i="3" s="1"/>
  <c r="C11" i="3" a="1"/>
  <c r="C11" i="3" s="1"/>
  <c r="D11" i="3" a="1"/>
  <c r="D11" i="3" s="1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Y11" i="3" a="1"/>
  <c r="Y11" i="3" s="1"/>
  <c r="Z11" i="3" a="1"/>
  <c r="Z11" i="3" s="1"/>
  <c r="AA11" i="3" a="1"/>
  <c r="AA11" i="3" s="1"/>
  <c r="AB11" i="3" a="1"/>
  <c r="AB11" i="3" s="1"/>
  <c r="AC11" i="3" a="1"/>
  <c r="AC11" i="3" s="1"/>
  <c r="AD11" i="3" a="1"/>
  <c r="AD11" i="3" s="1"/>
  <c r="AE11" i="3" a="1"/>
  <c r="AE11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G12" i="3" a="1"/>
  <c r="G12" i="3" s="1"/>
  <c r="H12" i="3" a="1"/>
  <c r="H12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Y12" i="3" a="1"/>
  <c r="Y12" i="3" s="1"/>
  <c r="Z12" i="3" a="1"/>
  <c r="Z12" i="3" s="1"/>
  <c r="AA12" i="3" a="1"/>
  <c r="AA12" i="3" s="1"/>
  <c r="AB12" i="3" a="1"/>
  <c r="AB12" i="3" s="1"/>
  <c r="AC12" i="3" a="1"/>
  <c r="AC12" i="3" s="1"/>
  <c r="AD12" i="3" a="1"/>
  <c r="AD12" i="3" s="1"/>
  <c r="AE12" i="3" a="1"/>
  <c r="AE12" i="3" s="1"/>
  <c r="B13" i="3" a="1"/>
  <c r="B13" i="3" s="1"/>
  <c r="C13" i="3" a="1"/>
  <c r="C13" i="3" s="1"/>
  <c r="D13" i="3" a="1"/>
  <c r="D13" i="3" s="1"/>
  <c r="E13" i="3" a="1"/>
  <c r="E13" i="3" s="1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L13" i="3" a="1"/>
  <c r="L13" i="3" s="1"/>
  <c r="M13" i="3" a="1"/>
  <c r="M13" i="3" s="1"/>
  <c r="N13" i="3" a="1"/>
  <c r="N13" i="3" s="1"/>
  <c r="O13" i="3" a="1"/>
  <c r="O13" i="3" s="1"/>
  <c r="P13" i="3" a="1"/>
  <c r="P13" i="3" s="1"/>
  <c r="Q13" i="3" a="1"/>
  <c r="Q13" i="3" s="1"/>
  <c r="R13" i="3" a="1"/>
  <c r="R13" i="3" s="1"/>
  <c r="S13" i="3" a="1"/>
  <c r="S13" i="3" s="1"/>
  <c r="T13" i="3" a="1"/>
  <c r="T13" i="3" s="1"/>
  <c r="U13" i="3" a="1"/>
  <c r="U13" i="3" s="1"/>
  <c r="V13" i="3" a="1"/>
  <c r="V13" i="3" s="1"/>
  <c r="W13" i="3" a="1"/>
  <c r="W13" i="3" s="1"/>
  <c r="X13" i="3" a="1"/>
  <c r="X13" i="3" s="1"/>
  <c r="Y13" i="3" a="1"/>
  <c r="Y13" i="3" s="1"/>
  <c r="Z13" i="3" a="1"/>
  <c r="Z13" i="3" s="1"/>
  <c r="AA13" i="3" a="1"/>
  <c r="AA13" i="3" s="1"/>
  <c r="AB13" i="3" a="1"/>
  <c r="AB13" i="3" s="1"/>
  <c r="AC13" i="3" a="1"/>
  <c r="AC13" i="3" s="1"/>
  <c r="AD13" i="3" a="1"/>
  <c r="AD13" i="3" s="1"/>
  <c r="AE13" i="3" a="1"/>
  <c r="AE13" i="3" s="1"/>
  <c r="B14" i="3" a="1"/>
  <c r="B14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N14" i="3" a="1"/>
  <c r="N14" i="3" s="1"/>
  <c r="O14" i="3" a="1"/>
  <c r="O14" i="3" s="1"/>
  <c r="P14" i="3" a="1"/>
  <c r="P14" i="3" s="1"/>
  <c r="Q14" i="3" a="1"/>
  <c r="Q14" i="3" s="1"/>
  <c r="R14" i="3" a="1"/>
  <c r="R14" i="3" s="1"/>
  <c r="S14" i="3" a="1"/>
  <c r="S14" i="3" s="1"/>
  <c r="T14" i="3" a="1"/>
  <c r="T14" i="3" s="1"/>
  <c r="U14" i="3" a="1"/>
  <c r="U14" i="3" s="1"/>
  <c r="V14" i="3" a="1"/>
  <c r="V14" i="3" s="1"/>
  <c r="W14" i="3" a="1"/>
  <c r="W14" i="3" s="1"/>
  <c r="X14" i="3" a="1"/>
  <c r="X14" i="3" s="1"/>
  <c r="Y14" i="3" a="1"/>
  <c r="Y14" i="3" s="1"/>
  <c r="Z14" i="3" a="1"/>
  <c r="Z14" i="3" s="1"/>
  <c r="AA14" i="3" a="1"/>
  <c r="AA14" i="3" s="1"/>
  <c r="AB14" i="3" a="1"/>
  <c r="AB14" i="3" s="1"/>
  <c r="AC14" i="3" a="1"/>
  <c r="AC14" i="3" s="1"/>
  <c r="AD14" i="3" a="1"/>
  <c r="AD14" i="3" s="1"/>
  <c r="AE14" i="3" a="1"/>
  <c r="AE14" i="3" s="1"/>
  <c r="B15" i="3" a="1"/>
  <c r="B15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 s="1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P15" i="3" a="1"/>
  <c r="P15" i="3" s="1"/>
  <c r="Q15" i="3" a="1"/>
  <c r="Q15" i="3" s="1"/>
  <c r="R15" i="3" a="1"/>
  <c r="R15" i="3" s="1"/>
  <c r="S15" i="3" a="1"/>
  <c r="S15" i="3" s="1"/>
  <c r="T15" i="3" a="1"/>
  <c r="T15" i="3" s="1"/>
  <c r="U15" i="3" a="1"/>
  <c r="U15" i="3" s="1"/>
  <c r="V15" i="3" a="1"/>
  <c r="V15" i="3" s="1"/>
  <c r="W15" i="3" a="1"/>
  <c r="W15" i="3" s="1"/>
  <c r="X15" i="3" a="1"/>
  <c r="X15" i="3" s="1"/>
  <c r="Y15" i="3" a="1"/>
  <c r="Y15" i="3" s="1"/>
  <c r="Z15" i="3" a="1"/>
  <c r="Z15" i="3" s="1"/>
  <c r="AA15" i="3" a="1"/>
  <c r="AA15" i="3" s="1"/>
  <c r="AB15" i="3" a="1"/>
  <c r="AB15" i="3" s="1"/>
  <c r="AC15" i="3" a="1"/>
  <c r="AC15" i="3" s="1"/>
  <c r="AD15" i="3" a="1"/>
  <c r="AD15" i="3" s="1"/>
  <c r="AE15" i="3" a="1"/>
  <c r="AE15" i="3" s="1"/>
  <c r="B16" i="3" a="1"/>
  <c r="B16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P16" i="3" a="1"/>
  <c r="P16" i="3" s="1"/>
  <c r="Q16" i="3" a="1"/>
  <c r="Q16" i="3" s="1"/>
  <c r="R16" i="3" a="1"/>
  <c r="R16" i="3" s="1"/>
  <c r="S16" i="3" a="1"/>
  <c r="S16" i="3" s="1"/>
  <c r="T16" i="3" a="1"/>
  <c r="T16" i="3" s="1"/>
  <c r="U16" i="3" a="1"/>
  <c r="U16" i="3" s="1"/>
  <c r="V16" i="3" a="1"/>
  <c r="V16" i="3" s="1"/>
  <c r="W16" i="3" a="1"/>
  <c r="W16" i="3" s="1"/>
  <c r="X16" i="3" a="1"/>
  <c r="X16" i="3" s="1"/>
  <c r="Y16" i="3" a="1"/>
  <c r="Y16" i="3" s="1"/>
  <c r="Z16" i="3" a="1"/>
  <c r="Z16" i="3" s="1"/>
  <c r="AA16" i="3" a="1"/>
  <c r="AA16" i="3" s="1"/>
  <c r="AB16" i="3" a="1"/>
  <c r="AB16" i="3" s="1"/>
  <c r="AC16" i="3" a="1"/>
  <c r="AC16" i="3" s="1"/>
  <c r="AD16" i="3" a="1"/>
  <c r="AD16" i="3" s="1"/>
  <c r="AE16" i="3" a="1"/>
  <c r="AE16" i="3" s="1"/>
  <c r="B17" i="3" a="1"/>
  <c r="B17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 s="1"/>
  <c r="M17" i="3" a="1"/>
  <c r="M17" i="3" s="1"/>
  <c r="N17" i="3" a="1"/>
  <c r="N17" i="3" s="1"/>
  <c r="O17" i="3" a="1"/>
  <c r="O17" i="3" s="1"/>
  <c r="P17" i="3" a="1"/>
  <c r="P17" i="3" s="1"/>
  <c r="Q17" i="3" a="1"/>
  <c r="Q17" i="3" s="1"/>
  <c r="R17" i="3" a="1"/>
  <c r="R17" i="3" s="1"/>
  <c r="S17" i="3" a="1"/>
  <c r="S17" i="3" s="1"/>
  <c r="T17" i="3" a="1"/>
  <c r="T17" i="3" s="1"/>
  <c r="U17" i="3" a="1"/>
  <c r="U17" i="3" s="1"/>
  <c r="V17" i="3" a="1"/>
  <c r="V17" i="3" s="1"/>
  <c r="W17" i="3" a="1"/>
  <c r="W17" i="3" s="1"/>
  <c r="X17" i="3" a="1"/>
  <c r="X17" i="3" s="1"/>
  <c r="Y17" i="3" a="1"/>
  <c r="Y17" i="3" s="1"/>
  <c r="Z17" i="3" a="1"/>
  <c r="Z17" i="3" s="1"/>
  <c r="AA17" i="3" a="1"/>
  <c r="AA17" i="3" s="1"/>
  <c r="AB17" i="3" a="1"/>
  <c r="AB17" i="3" s="1"/>
  <c r="AC17" i="3" a="1"/>
  <c r="AC17" i="3" s="1"/>
  <c r="AD17" i="3" a="1"/>
  <c r="AD17" i="3" s="1"/>
  <c r="AE17" i="3" a="1"/>
  <c r="AE17" i="3" s="1"/>
  <c r="B18" i="3" a="1"/>
  <c r="B18" i="3" s="1"/>
  <c r="C18" i="3" a="1"/>
  <c r="C18" i="3" s="1"/>
  <c r="D18" i="3" a="1"/>
  <c r="D18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P18" i="3" a="1"/>
  <c r="P18" i="3" s="1"/>
  <c r="Q18" i="3" a="1"/>
  <c r="Q18" i="3" s="1"/>
  <c r="R18" i="3" a="1"/>
  <c r="R18" i="3" s="1"/>
  <c r="S18" i="3" a="1"/>
  <c r="S18" i="3" s="1"/>
  <c r="T18" i="3" a="1"/>
  <c r="T18" i="3" s="1"/>
  <c r="U18" i="3" a="1"/>
  <c r="U18" i="3" s="1"/>
  <c r="V18" i="3" a="1"/>
  <c r="V18" i="3" s="1"/>
  <c r="W18" i="3" a="1"/>
  <c r="W18" i="3" s="1"/>
  <c r="X18" i="3" a="1"/>
  <c r="X18" i="3" s="1"/>
  <c r="Y18" i="3" a="1"/>
  <c r="Y18" i="3" s="1"/>
  <c r="Z18" i="3" a="1"/>
  <c r="Z18" i="3" s="1"/>
  <c r="AA18" i="3" a="1"/>
  <c r="AA18" i="3" s="1"/>
  <c r="AB18" i="3" a="1"/>
  <c r="AB18" i="3" s="1"/>
  <c r="AC18" i="3" a="1"/>
  <c r="AC18" i="3" s="1"/>
  <c r="AD18" i="3" a="1"/>
  <c r="AD18" i="3" s="1"/>
  <c r="AE18" i="3" a="1"/>
  <c r="AE18" i="3" s="1"/>
  <c r="B19" i="3" a="1"/>
  <c r="B19" i="3" s="1"/>
  <c r="C19" i="3" a="1"/>
  <c r="C19" i="3" s="1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P19" i="3" a="1"/>
  <c r="P19" i="3" s="1"/>
  <c r="Q19" i="3" a="1"/>
  <c r="Q19" i="3" s="1"/>
  <c r="R19" i="3" a="1"/>
  <c r="R19" i="3" s="1"/>
  <c r="S19" i="3" a="1"/>
  <c r="S19" i="3" s="1"/>
  <c r="T19" i="3" a="1"/>
  <c r="T19" i="3" s="1"/>
  <c r="U19" i="3" a="1"/>
  <c r="U19" i="3" s="1"/>
  <c r="V19" i="3" a="1"/>
  <c r="V19" i="3" s="1"/>
  <c r="W19" i="3" a="1"/>
  <c r="W19" i="3" s="1"/>
  <c r="X19" i="3" a="1"/>
  <c r="X19" i="3" s="1"/>
  <c r="Y19" i="3" a="1"/>
  <c r="Y19" i="3" s="1"/>
  <c r="Z19" i="3" a="1"/>
  <c r="Z19" i="3" s="1"/>
  <c r="AA19" i="3" a="1"/>
  <c r="AA19" i="3" s="1"/>
  <c r="AB19" i="3" a="1"/>
  <c r="AB19" i="3" s="1"/>
  <c r="AC19" i="3" a="1"/>
  <c r="AC19" i="3" s="1"/>
  <c r="AD19" i="3" a="1"/>
  <c r="AD19" i="3" s="1"/>
  <c r="AE19" i="3" a="1"/>
  <c r="AE19" i="3" s="1"/>
  <c r="B20" i="3" a="1"/>
  <c r="B20" i="3" s="1"/>
  <c r="C20" i="3" a="1"/>
  <c r="C20" i="3" s="1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J20" i="3" a="1"/>
  <c r="J20" i="3" s="1"/>
  <c r="K20" i="3" a="1"/>
  <c r="K20" i="3" s="1"/>
  <c r="L20" i="3" a="1"/>
  <c r="L20" i="3" s="1"/>
  <c r="M20" i="3" a="1"/>
  <c r="M20" i="3" s="1"/>
  <c r="N20" i="3" a="1"/>
  <c r="N20" i="3" s="1"/>
  <c r="O20" i="3" a="1"/>
  <c r="O20" i="3" s="1"/>
  <c r="P20" i="3" a="1"/>
  <c r="P20" i="3" s="1"/>
  <c r="Q20" i="3" a="1"/>
  <c r="Q20" i="3" s="1"/>
  <c r="R20" i="3" a="1"/>
  <c r="R20" i="3" s="1"/>
  <c r="S20" i="3" a="1"/>
  <c r="S20" i="3" s="1"/>
  <c r="T20" i="3" a="1"/>
  <c r="T20" i="3" s="1"/>
  <c r="U20" i="3" a="1"/>
  <c r="U20" i="3" s="1"/>
  <c r="V20" i="3" a="1"/>
  <c r="V20" i="3" s="1"/>
  <c r="W20" i="3" a="1"/>
  <c r="W20" i="3" s="1"/>
  <c r="X20" i="3" a="1"/>
  <c r="X20" i="3" s="1"/>
  <c r="Y20" i="3" a="1"/>
  <c r="Y20" i="3" s="1"/>
  <c r="Z20" i="3" a="1"/>
  <c r="Z20" i="3" s="1"/>
  <c r="AA20" i="3" a="1"/>
  <c r="AA20" i="3" s="1"/>
  <c r="AB20" i="3" a="1"/>
  <c r="AB20" i="3" s="1"/>
  <c r="AC20" i="3" a="1"/>
  <c r="AC20" i="3" s="1"/>
  <c r="AD20" i="3" a="1"/>
  <c r="AD20" i="3" s="1"/>
  <c r="AE20" i="3" a="1"/>
  <c r="AE20" i="3" s="1"/>
  <c r="B21" i="3" a="1"/>
  <c r="B21" i="3" s="1"/>
  <c r="C21" i="3" a="1"/>
  <c r="C21" i="3" s="1"/>
  <c r="D21" i="3" a="1"/>
  <c r="D21" i="3" s="1"/>
  <c r="E21" i="3" a="1"/>
  <c r="E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N21" i="3" a="1"/>
  <c r="N21" i="3" s="1"/>
  <c r="O21" i="3" a="1"/>
  <c r="O21" i="3" s="1"/>
  <c r="P21" i="3" a="1"/>
  <c r="P21" i="3" s="1"/>
  <c r="Q21" i="3" a="1"/>
  <c r="Q21" i="3" s="1"/>
  <c r="R21" i="3" a="1"/>
  <c r="R21" i="3" s="1"/>
  <c r="S21" i="3" a="1"/>
  <c r="S21" i="3" s="1"/>
  <c r="T21" i="3" a="1"/>
  <c r="T21" i="3" s="1"/>
  <c r="U21" i="3" a="1"/>
  <c r="U21" i="3" s="1"/>
  <c r="V21" i="3" a="1"/>
  <c r="V21" i="3" s="1"/>
  <c r="W21" i="3" a="1"/>
  <c r="W21" i="3" s="1"/>
  <c r="X21" i="3" a="1"/>
  <c r="X21" i="3" s="1"/>
  <c r="Y21" i="3" a="1"/>
  <c r="Y21" i="3" s="1"/>
  <c r="Z21" i="3" a="1"/>
  <c r="Z21" i="3" s="1"/>
  <c r="AA21" i="3" a="1"/>
  <c r="AA21" i="3" s="1"/>
  <c r="AB21" i="3" a="1"/>
  <c r="AB21" i="3" s="1"/>
  <c r="AC21" i="3" a="1"/>
  <c r="AC21" i="3" s="1"/>
  <c r="AD21" i="3" a="1"/>
  <c r="AD21" i="3" s="1"/>
  <c r="AE21" i="3" a="1"/>
  <c r="AE21" i="3" s="1"/>
  <c r="B22" i="3" a="1"/>
  <c r="B22" i="3" s="1"/>
  <c r="C22" i="3" a="1"/>
  <c r="C22" i="3" s="1"/>
  <c r="D22" i="3" a="1"/>
  <c r="D22" i="3" s="1"/>
  <c r="E22" i="3" a="1"/>
  <c r="E22" i="3" s="1"/>
  <c r="F22" i="3" a="1"/>
  <c r="F22" i="3" s="1"/>
  <c r="G22" i="3" a="1"/>
  <c r="G22" i="3" s="1"/>
  <c r="H22" i="3" a="1"/>
  <c r="H22" i="3" s="1"/>
  <c r="I22" i="3" a="1"/>
  <c r="I22" i="3" s="1"/>
  <c r="J22" i="3" a="1"/>
  <c r="J22" i="3" s="1"/>
  <c r="K22" i="3" a="1"/>
  <c r="K22" i="3" s="1"/>
  <c r="L22" i="3" a="1"/>
  <c r="L22" i="3" s="1"/>
  <c r="M22" i="3" a="1"/>
  <c r="M22" i="3" s="1"/>
  <c r="N22" i="3" a="1"/>
  <c r="N22" i="3" s="1"/>
  <c r="O22" i="3" a="1"/>
  <c r="O22" i="3" s="1"/>
  <c r="P22" i="3" a="1"/>
  <c r="P22" i="3" s="1"/>
  <c r="Q22" i="3" a="1"/>
  <c r="Q22" i="3" s="1"/>
  <c r="R22" i="3" a="1"/>
  <c r="R22" i="3" s="1"/>
  <c r="S22" i="3" a="1"/>
  <c r="S22" i="3" s="1"/>
  <c r="T22" i="3" a="1"/>
  <c r="T22" i="3" s="1"/>
  <c r="U22" i="3" a="1"/>
  <c r="U22" i="3" s="1"/>
  <c r="V22" i="3" a="1"/>
  <c r="V22" i="3" s="1"/>
  <c r="W22" i="3" a="1"/>
  <c r="W22" i="3" s="1"/>
  <c r="X22" i="3" a="1"/>
  <c r="X22" i="3" s="1"/>
  <c r="Y22" i="3" a="1"/>
  <c r="Y22" i="3" s="1"/>
  <c r="Z22" i="3" a="1"/>
  <c r="Z22" i="3" s="1"/>
  <c r="AA22" i="3" a="1"/>
  <c r="AA22" i="3" s="1"/>
  <c r="AB22" i="3" a="1"/>
  <c r="AB22" i="3" s="1"/>
  <c r="AC22" i="3" a="1"/>
  <c r="AC22" i="3" s="1"/>
  <c r="AD22" i="3" a="1"/>
  <c r="AD22" i="3" s="1"/>
  <c r="AE22" i="3" a="1"/>
  <c r="AE22" i="3" s="1"/>
  <c r="B23" i="3" a="1"/>
  <c r="B23" i="3" s="1"/>
  <c r="C23" i="3" a="1"/>
  <c r="C23" i="3" s="1"/>
  <c r="D23" i="3" a="1"/>
  <c r="D23" i="3" s="1"/>
  <c r="E23" i="3" a="1"/>
  <c r="E23" i="3" s="1"/>
  <c r="F23" i="3" a="1"/>
  <c r="F23" i="3" s="1"/>
  <c r="G23" i="3" a="1"/>
  <c r="G23" i="3" s="1"/>
  <c r="H23" i="3" a="1"/>
  <c r="H23" i="3" s="1"/>
  <c r="I23" i="3" a="1"/>
  <c r="I23" i="3" s="1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P23" i="3" a="1"/>
  <c r="P23" i="3" s="1"/>
  <c r="Q23" i="3" a="1"/>
  <c r="Q23" i="3" s="1"/>
  <c r="R23" i="3" a="1"/>
  <c r="R23" i="3" s="1"/>
  <c r="S23" i="3" a="1"/>
  <c r="S23" i="3" s="1"/>
  <c r="T23" i="3" a="1"/>
  <c r="T23" i="3" s="1"/>
  <c r="U23" i="3" a="1"/>
  <c r="U23" i="3" s="1"/>
  <c r="V23" i="3" a="1"/>
  <c r="V23" i="3" s="1"/>
  <c r="W23" i="3" a="1"/>
  <c r="W23" i="3" s="1"/>
  <c r="X23" i="3" a="1"/>
  <c r="X23" i="3" s="1"/>
  <c r="Y23" i="3" a="1"/>
  <c r="Y23" i="3" s="1"/>
  <c r="Z23" i="3" a="1"/>
  <c r="Z23" i="3" s="1"/>
  <c r="AA23" i="3" a="1"/>
  <c r="AA23" i="3" s="1"/>
  <c r="AB23" i="3" a="1"/>
  <c r="AB23" i="3" s="1"/>
  <c r="AC23" i="3" a="1"/>
  <c r="AC23" i="3" s="1"/>
  <c r="AD23" i="3" a="1"/>
  <c r="AD23" i="3" s="1"/>
  <c r="AE23" i="3" a="1"/>
  <c r="AE23" i="3" s="1"/>
  <c r="B24" i="3" a="1"/>
  <c r="B24" i="3" s="1"/>
  <c r="C24" i="3" a="1"/>
  <c r="C24" i="3" s="1"/>
  <c r="D24" i="3" a="1"/>
  <c r="D24" i="3" s="1"/>
  <c r="E24" i="3" a="1"/>
  <c r="E24" i="3" s="1"/>
  <c r="F24" i="3" a="1"/>
  <c r="F24" i="3" s="1"/>
  <c r="G24" i="3" a="1"/>
  <c r="G24" i="3" s="1"/>
  <c r="H24" i="3" a="1"/>
  <c r="H24" i="3" s="1"/>
  <c r="I24" i="3" a="1"/>
  <c r="I24" i="3" s="1"/>
  <c r="J24" i="3" a="1"/>
  <c r="J24" i="3" s="1"/>
  <c r="K24" i="3" a="1"/>
  <c r="K24" i="3" s="1"/>
  <c r="L24" i="3" a="1"/>
  <c r="L24" i="3" s="1"/>
  <c r="M24" i="3" a="1"/>
  <c r="M24" i="3" s="1"/>
  <c r="N24" i="3" a="1"/>
  <c r="N24" i="3" s="1"/>
  <c r="O24" i="3" a="1"/>
  <c r="O24" i="3" s="1"/>
  <c r="P24" i="3" a="1"/>
  <c r="P24" i="3" s="1"/>
  <c r="Q24" i="3" a="1"/>
  <c r="Q24" i="3" s="1"/>
  <c r="R24" i="3" a="1"/>
  <c r="R24" i="3" s="1"/>
  <c r="S24" i="3" a="1"/>
  <c r="S24" i="3" s="1"/>
  <c r="T24" i="3" a="1"/>
  <c r="T24" i="3" s="1"/>
  <c r="U24" i="3" a="1"/>
  <c r="U24" i="3" s="1"/>
  <c r="V24" i="3" a="1"/>
  <c r="V24" i="3" s="1"/>
  <c r="W24" i="3" a="1"/>
  <c r="W24" i="3" s="1"/>
  <c r="X24" i="3" a="1"/>
  <c r="X24" i="3" s="1"/>
  <c r="Y24" i="3" a="1"/>
  <c r="Y24" i="3" s="1"/>
  <c r="Z24" i="3" a="1"/>
  <c r="Z24" i="3" s="1"/>
  <c r="AA24" i="3" a="1"/>
  <c r="AA24" i="3" s="1"/>
  <c r="AB24" i="3" a="1"/>
  <c r="AB24" i="3" s="1"/>
  <c r="AC24" i="3" a="1"/>
  <c r="AC24" i="3" s="1"/>
  <c r="AD24" i="3" a="1"/>
  <c r="AD24" i="3" s="1"/>
  <c r="AE24" i="3" a="1"/>
  <c r="AE24" i="3" s="1"/>
  <c r="B25" i="3" a="1"/>
  <c r="B25" i="3" s="1"/>
  <c r="C25" i="3" a="1"/>
  <c r="C25" i="3" s="1"/>
  <c r="D25" i="3" a="1"/>
  <c r="D25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S25" i="3" a="1"/>
  <c r="S25" i="3" s="1"/>
  <c r="T25" i="3" a="1"/>
  <c r="T25" i="3" s="1"/>
  <c r="U25" i="3" a="1"/>
  <c r="U25" i="3" s="1"/>
  <c r="V25" i="3" a="1"/>
  <c r="V25" i="3" s="1"/>
  <c r="W25" i="3" a="1"/>
  <c r="W25" i="3" s="1"/>
  <c r="X25" i="3" a="1"/>
  <c r="X25" i="3" s="1"/>
  <c r="Y25" i="3" a="1"/>
  <c r="Y25" i="3" s="1"/>
  <c r="Z25" i="3" a="1"/>
  <c r="Z25" i="3" s="1"/>
  <c r="AA25" i="3" a="1"/>
  <c r="AA25" i="3" s="1"/>
  <c r="AB25" i="3" a="1"/>
  <c r="AB25" i="3" s="1"/>
  <c r="AC25" i="3" a="1"/>
  <c r="AC25" i="3" s="1"/>
  <c r="AD25" i="3" a="1"/>
  <c r="AD25" i="3" s="1"/>
  <c r="AE25" i="3" a="1"/>
  <c r="AE25" i="3" s="1"/>
  <c r="B26" i="3" a="1"/>
  <c r="B26" i="3" s="1"/>
  <c r="C26" i="3" a="1"/>
  <c r="C26" i="3" s="1"/>
  <c r="D26" i="3" a="1"/>
  <c r="D26" i="3" s="1"/>
  <c r="E26" i="3" a="1"/>
  <c r="E26" i="3" s="1"/>
  <c r="F26" i="3" a="1"/>
  <c r="F26" i="3" s="1"/>
  <c r="G26" i="3" a="1"/>
  <c r="G26" i="3" s="1"/>
  <c r="H26" i="3" a="1"/>
  <c r="H26" i="3" s="1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N26" i="3" a="1"/>
  <c r="N26" i="3" s="1"/>
  <c r="O26" i="3" a="1"/>
  <c r="O26" i="3" s="1"/>
  <c r="P26" i="3" a="1"/>
  <c r="P26" i="3" s="1"/>
  <c r="Q26" i="3" a="1"/>
  <c r="Q26" i="3" s="1"/>
  <c r="R26" i="3" a="1"/>
  <c r="R26" i="3" s="1"/>
  <c r="S26" i="3" a="1"/>
  <c r="S26" i="3" s="1"/>
  <c r="T26" i="3" a="1"/>
  <c r="T26" i="3" s="1"/>
  <c r="U26" i="3" a="1"/>
  <c r="U26" i="3" s="1"/>
  <c r="V26" i="3" a="1"/>
  <c r="V26" i="3" s="1"/>
  <c r="W26" i="3" a="1"/>
  <c r="W26" i="3" s="1"/>
  <c r="X26" i="3" a="1"/>
  <c r="X26" i="3" s="1"/>
  <c r="Y26" i="3" a="1"/>
  <c r="Y26" i="3" s="1"/>
  <c r="Z26" i="3" a="1"/>
  <c r="Z26" i="3" s="1"/>
  <c r="AA26" i="3" a="1"/>
  <c r="AA26" i="3" s="1"/>
  <c r="AB26" i="3" a="1"/>
  <c r="AB26" i="3" s="1"/>
  <c r="AC26" i="3" a="1"/>
  <c r="AC26" i="3" s="1"/>
  <c r="AD26" i="3" a="1"/>
  <c r="AD26" i="3" s="1"/>
  <c r="AE26" i="3" a="1"/>
  <c r="AE26" i="3" s="1"/>
  <c r="B27" i="3" a="1"/>
  <c r="B27" i="3" s="1"/>
  <c r="C27" i="3" a="1"/>
  <c r="C27" i="3" s="1"/>
  <c r="D27" i="3" a="1"/>
  <c r="D27" i="3" s="1"/>
  <c r="E27" i="3" a="1"/>
  <c r="E27" i="3" s="1"/>
  <c r="F27" i="3" a="1"/>
  <c r="F27" i="3" s="1"/>
  <c r="G27" i="3" a="1"/>
  <c r="G27" i="3" s="1"/>
  <c r="H27" i="3" a="1"/>
  <c r="H27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 s="1"/>
  <c r="O27" i="3" a="1"/>
  <c r="O27" i="3" s="1"/>
  <c r="P27" i="3" a="1"/>
  <c r="P27" i="3" s="1"/>
  <c r="Q27" i="3" a="1"/>
  <c r="Q27" i="3" s="1"/>
  <c r="R27" i="3" a="1"/>
  <c r="R27" i="3" s="1"/>
  <c r="S27" i="3" a="1"/>
  <c r="S27" i="3" s="1"/>
  <c r="T27" i="3" a="1"/>
  <c r="T27" i="3" s="1"/>
  <c r="U27" i="3" a="1"/>
  <c r="U27" i="3" s="1"/>
  <c r="V27" i="3" a="1"/>
  <c r="V27" i="3" s="1"/>
  <c r="W27" i="3" a="1"/>
  <c r="W27" i="3" s="1"/>
  <c r="X27" i="3" a="1"/>
  <c r="X27" i="3" s="1"/>
  <c r="Y27" i="3" a="1"/>
  <c r="Y27" i="3" s="1"/>
  <c r="Z27" i="3" a="1"/>
  <c r="Z27" i="3" s="1"/>
  <c r="AA27" i="3" a="1"/>
  <c r="AA27" i="3" s="1"/>
  <c r="AB27" i="3" a="1"/>
  <c r="AB27" i="3" s="1"/>
  <c r="AC27" i="3" a="1"/>
  <c r="AC27" i="3" s="1"/>
  <c r="AD27" i="3" a="1"/>
  <c r="AD27" i="3" s="1"/>
  <c r="AE27" i="3" a="1"/>
  <c r="AE27" i="3" s="1"/>
  <c r="B28" i="3" a="1"/>
  <c r="B28" i="3" s="1"/>
  <c r="C28" i="3" a="1"/>
  <c r="C28" i="3" s="1"/>
  <c r="D28" i="3" a="1"/>
  <c r="D28" i="3" s="1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S28" i="3" a="1"/>
  <c r="S28" i="3" s="1"/>
  <c r="T28" i="3" a="1"/>
  <c r="T28" i="3" s="1"/>
  <c r="U28" i="3" a="1"/>
  <c r="U28" i="3" s="1"/>
  <c r="V28" i="3" a="1"/>
  <c r="V28" i="3" s="1"/>
  <c r="W28" i="3" a="1"/>
  <c r="W28" i="3" s="1"/>
  <c r="X28" i="3" a="1"/>
  <c r="X28" i="3" s="1"/>
  <c r="Y28" i="3" a="1"/>
  <c r="Y28" i="3" s="1"/>
  <c r="Z28" i="3" a="1"/>
  <c r="Z28" i="3" s="1"/>
  <c r="AA28" i="3" a="1"/>
  <c r="AA28" i="3" s="1"/>
  <c r="AB28" i="3" a="1"/>
  <c r="AB28" i="3" s="1"/>
  <c r="AC28" i="3" a="1"/>
  <c r="AC28" i="3" s="1"/>
  <c r="AD28" i="3" a="1"/>
  <c r="AD28" i="3" s="1"/>
  <c r="AE28" i="3" a="1"/>
  <c r="AE28" i="3" s="1"/>
  <c r="B29" i="3" a="1"/>
  <c r="B29" i="3" s="1"/>
  <c r="C29" i="3" a="1"/>
  <c r="C29" i="3" s="1"/>
  <c r="D29" i="3" a="1"/>
  <c r="D29" i="3" s="1"/>
  <c r="E29" i="3" a="1"/>
  <c r="E29" i="3" s="1"/>
  <c r="F29" i="3" a="1"/>
  <c r="F29" i="3" s="1"/>
  <c r="G29" i="3" a="1"/>
  <c r="G29" i="3" s="1"/>
  <c r="H29" i="3" a="1"/>
  <c r="H29" i="3" s="1"/>
  <c r="I29" i="3" a="1"/>
  <c r="I29" i="3" s="1"/>
  <c r="J29" i="3" a="1"/>
  <c r="J29" i="3" s="1"/>
  <c r="K29" i="3" a="1"/>
  <c r="K29" i="3" s="1"/>
  <c r="L29" i="3" a="1"/>
  <c r="L29" i="3" s="1"/>
  <c r="M29" i="3" a="1"/>
  <c r="M29" i="3" s="1"/>
  <c r="N29" i="3" a="1"/>
  <c r="N29" i="3" s="1"/>
  <c r="O29" i="3" a="1"/>
  <c r="O29" i="3" s="1"/>
  <c r="P29" i="3" a="1"/>
  <c r="P29" i="3" s="1"/>
  <c r="Q29" i="3" a="1"/>
  <c r="Q29" i="3" s="1"/>
  <c r="R29" i="3" a="1"/>
  <c r="R29" i="3" s="1"/>
  <c r="S29" i="3" a="1"/>
  <c r="S29" i="3" s="1"/>
  <c r="T29" i="3" a="1"/>
  <c r="T29" i="3" s="1"/>
  <c r="U29" i="3" a="1"/>
  <c r="U29" i="3"/>
  <c r="V29" i="3" a="1"/>
  <c r="V29" i="3" s="1"/>
  <c r="W29" i="3" a="1"/>
  <c r="W29" i="3" s="1"/>
  <c r="X29" i="3" a="1"/>
  <c r="X29" i="3" s="1"/>
  <c r="Y29" i="3" a="1"/>
  <c r="Y29" i="3" s="1"/>
  <c r="Z29" i="3" a="1"/>
  <c r="Z29" i="3" s="1"/>
  <c r="AA29" i="3" a="1"/>
  <c r="AA29" i="3" s="1"/>
  <c r="AB29" i="3" a="1"/>
  <c r="AB29" i="3" s="1"/>
  <c r="AC29" i="3" a="1"/>
  <c r="AC29" i="3" s="1"/>
  <c r="AD29" i="3" a="1"/>
  <c r="AD29" i="3" s="1"/>
  <c r="AE29" i="3" a="1"/>
  <c r="AE29" i="3" s="1"/>
  <c r="B30" i="3" a="1"/>
  <c r="B30" i="3"/>
  <c r="C30" i="3" a="1"/>
  <c r="C30" i="3" s="1"/>
  <c r="D30" i="3" a="1"/>
  <c r="D30" i="3" s="1"/>
  <c r="E30" i="3" a="1"/>
  <c r="E30" i="3" s="1"/>
  <c r="F30" i="3" a="1"/>
  <c r="F30" i="3" s="1"/>
  <c r="G30" i="3" a="1"/>
  <c r="G30" i="3" s="1"/>
  <c r="H30" i="3" a="1"/>
  <c r="H30" i="3" s="1"/>
  <c r="I30" i="3" a="1"/>
  <c r="I30" i="3" s="1"/>
  <c r="J30" i="3" a="1"/>
  <c r="J30" i="3" s="1"/>
  <c r="K30" i="3" a="1"/>
  <c r="K30" i="3" s="1"/>
  <c r="L30" i="3" a="1"/>
  <c r="L30" i="3" s="1"/>
  <c r="M30" i="3" a="1"/>
  <c r="M30" i="3" s="1"/>
  <c r="N30" i="3" a="1"/>
  <c r="N30" i="3" s="1"/>
  <c r="O30" i="3" a="1"/>
  <c r="O30" i="3" s="1"/>
  <c r="P30" i="3" a="1"/>
  <c r="P30" i="3" s="1"/>
  <c r="Q30" i="3" a="1"/>
  <c r="Q30" i="3" s="1"/>
  <c r="R30" i="3" a="1"/>
  <c r="R30" i="3" s="1"/>
  <c r="S30" i="3" a="1"/>
  <c r="S30" i="3" s="1"/>
  <c r="T30" i="3" a="1"/>
  <c r="T30" i="3" s="1"/>
  <c r="U30" i="3" a="1"/>
  <c r="U30" i="3" s="1"/>
  <c r="V30" i="3" a="1"/>
  <c r="V30" i="3" s="1"/>
  <c r="W30" i="3" a="1"/>
  <c r="W30" i="3" s="1"/>
  <c r="X30" i="3" a="1"/>
  <c r="X30" i="3" s="1"/>
  <c r="Y30" i="3" a="1"/>
  <c r="Y30" i="3" s="1"/>
  <c r="Z30" i="3" a="1"/>
  <c r="Z30" i="3" s="1"/>
  <c r="AA30" i="3" a="1"/>
  <c r="AA30" i="3" s="1"/>
  <c r="AB30" i="3" a="1"/>
  <c r="AB30" i="3" s="1"/>
  <c r="AC30" i="3" a="1"/>
  <c r="AC30" i="3" s="1"/>
  <c r="AD30" i="3" a="1"/>
  <c r="AD30" i="3" s="1"/>
  <c r="AE30" i="3" a="1"/>
  <c r="AE30" i="3" s="1"/>
  <c r="B31" i="3" a="1"/>
  <c r="B31" i="3" s="1"/>
  <c r="C31" i="3" a="1"/>
  <c r="C31" i="3" s="1"/>
  <c r="D31" i="3" a="1"/>
  <c r="D31" i="3" s="1"/>
  <c r="E31" i="3" a="1"/>
  <c r="E31" i="3"/>
  <c r="F31" i="3" a="1"/>
  <c r="F31" i="3" s="1"/>
  <c r="G31" i="3" a="1"/>
  <c r="G31" i="3" s="1"/>
  <c r="H31" i="3" a="1"/>
  <c r="H31" i="3" s="1"/>
  <c r="I31" i="3" a="1"/>
  <c r="I31" i="3" s="1"/>
  <c r="J31" i="3" a="1"/>
  <c r="J31" i="3" s="1"/>
  <c r="K31" i="3" a="1"/>
  <c r="K31" i="3" s="1"/>
  <c r="L31" i="3" a="1"/>
  <c r="L31" i="3" s="1"/>
  <c r="M31" i="3" a="1"/>
  <c r="M31" i="3" s="1"/>
  <c r="N31" i="3" a="1"/>
  <c r="N31" i="3" s="1"/>
  <c r="O31" i="3" a="1"/>
  <c r="O31" i="3" s="1"/>
  <c r="P31" i="3" a="1"/>
  <c r="P31" i="3" s="1"/>
  <c r="Q31" i="3" a="1"/>
  <c r="Q31" i="3" s="1"/>
  <c r="R31" i="3" a="1"/>
  <c r="R31" i="3" s="1"/>
  <c r="S31" i="3" a="1"/>
  <c r="S31" i="3" s="1"/>
  <c r="T31" i="3" a="1"/>
  <c r="T31" i="3" s="1"/>
  <c r="U31" i="3" a="1"/>
  <c r="U31" i="3" s="1"/>
  <c r="V31" i="3" a="1"/>
  <c r="V31" i="3" s="1"/>
  <c r="W31" i="3" a="1"/>
  <c r="W31" i="3" s="1"/>
  <c r="X31" i="3" a="1"/>
  <c r="X31" i="3" s="1"/>
  <c r="Y31" i="3" a="1"/>
  <c r="Y31" i="3" s="1"/>
  <c r="Z31" i="3" a="1"/>
  <c r="Z31" i="3" s="1"/>
  <c r="AA31" i="3" a="1"/>
  <c r="AA31" i="3" s="1"/>
  <c r="AB31" i="3" a="1"/>
  <c r="AB31" i="3" s="1"/>
  <c r="AC31" i="3" a="1"/>
  <c r="AC31" i="3" s="1"/>
  <c r="AD31" i="3" a="1"/>
  <c r="AD31" i="3" s="1"/>
  <c r="AE31" i="3" a="1"/>
  <c r="AE31" i="3" s="1"/>
  <c r="C2" i="3" a="1"/>
  <c r="C2" i="3" s="1"/>
  <c r="D2" i="3" a="1"/>
  <c r="D2" i="3" s="1"/>
  <c r="E2" i="3" a="1"/>
  <c r="E2" i="3" s="1"/>
  <c r="F2" i="3" a="1"/>
  <c r="F2" i="3" s="1"/>
  <c r="G2" i="3" a="1"/>
  <c r="G2" i="3" s="1"/>
  <c r="H2" i="3" a="1"/>
  <c r="H2" i="3" s="1"/>
  <c r="I2" i="3" a="1"/>
  <c r="I2" i="3" s="1"/>
  <c r="J2" i="3" a="1"/>
  <c r="J2" i="3" s="1"/>
  <c r="K2" i="3" a="1"/>
  <c r="K2" i="3" s="1"/>
  <c r="L2" i="3" a="1"/>
  <c r="L2" i="3" s="1"/>
  <c r="M2" i="3" a="1"/>
  <c r="M2" i="3" s="1"/>
  <c r="N2" i="3" a="1"/>
  <c r="N2" i="3" s="1"/>
  <c r="O2" i="3" a="1"/>
  <c r="O2" i="3" s="1"/>
  <c r="P2" i="3" a="1"/>
  <c r="P2" i="3" s="1"/>
  <c r="Q2" i="3" a="1"/>
  <c r="Q2" i="3" s="1"/>
  <c r="R2" i="3" a="1"/>
  <c r="R2" i="3" s="1"/>
  <c r="S2" i="3" a="1"/>
  <c r="S2" i="3" s="1"/>
  <c r="T2" i="3" a="1"/>
  <c r="T2" i="3"/>
  <c r="U2" i="3" a="1"/>
  <c r="U2" i="3" s="1"/>
  <c r="V2" i="3" a="1"/>
  <c r="V2" i="3" s="1"/>
  <c r="W2" i="3" a="1"/>
  <c r="W2" i="3" s="1"/>
  <c r="X2" i="3" a="1"/>
  <c r="X2" i="3" s="1"/>
  <c r="Y2" i="3" a="1"/>
  <c r="Y2" i="3" s="1"/>
  <c r="Z2" i="3" a="1"/>
  <c r="Z2" i="3" s="1"/>
  <c r="AA2" i="3" a="1"/>
  <c r="AA2" i="3" s="1"/>
  <c r="AB2" i="3" a="1"/>
  <c r="AB2" i="3" s="1"/>
  <c r="AC2" i="3" a="1"/>
  <c r="AC2" i="3" s="1"/>
  <c r="AD2" i="3" a="1"/>
  <c r="AD2" i="3" s="1"/>
  <c r="AE2" i="3" a="1"/>
  <c r="AE2" i="3" s="1"/>
  <c r="B2" i="3" a="1"/>
  <c r="B2" i="3" s="1"/>
  <c r="AE31" i="2"/>
  <c r="AE2" i="2"/>
  <c r="B2" i="2"/>
  <c r="Z25" i="2"/>
  <c r="H26" i="2"/>
  <c r="G29" i="2"/>
  <c r="I24" i="2"/>
  <c r="F27" i="2"/>
  <c r="D8" i="2"/>
  <c r="H8" i="2"/>
  <c r="H9" i="2"/>
  <c r="G18" i="2"/>
  <c r="Y18" i="2"/>
  <c r="F19" i="2"/>
  <c r="G23" i="2"/>
  <c r="G25" i="2"/>
  <c r="E29" i="2"/>
  <c r="Q7" i="2"/>
  <c r="T7" i="2"/>
  <c r="AA8" i="2"/>
  <c r="P12" i="2"/>
  <c r="N13" i="2"/>
  <c r="P15" i="2"/>
  <c r="V17" i="2"/>
  <c r="AD17" i="2"/>
  <c r="Y19" i="2"/>
  <c r="AB19" i="2"/>
  <c r="N22" i="2"/>
  <c r="P29" i="2"/>
  <c r="T22" i="2"/>
  <c r="S23" i="2"/>
  <c r="R24" i="2"/>
  <c r="K13" i="2"/>
  <c r="J14" i="2"/>
  <c r="I15" i="2"/>
  <c r="S12" i="2"/>
  <c r="T13" i="2"/>
  <c r="U14" i="2"/>
  <c r="AG2" i="1"/>
  <c r="AO2" i="1"/>
  <c r="AM3" i="1"/>
  <c r="AN3" i="1"/>
  <c r="AG5" i="1"/>
  <c r="AH5" i="1"/>
  <c r="AO1" i="1" s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R7" i="2"/>
  <c r="S7" i="2"/>
  <c r="U7" i="2"/>
  <c r="V7" i="2"/>
  <c r="W7" i="2"/>
  <c r="X7" i="2"/>
  <c r="Y7" i="2"/>
  <c r="Z7" i="2"/>
  <c r="AA7" i="2"/>
  <c r="AB7" i="2"/>
  <c r="AC7" i="2"/>
  <c r="AD7" i="2"/>
  <c r="AE7" i="2"/>
  <c r="B8" i="2"/>
  <c r="C8" i="2"/>
  <c r="E8" i="2"/>
  <c r="F8" i="2"/>
  <c r="G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B8" i="2"/>
  <c r="AC8" i="2"/>
  <c r="AD8" i="2"/>
  <c r="AE8" i="2"/>
  <c r="B9" i="2"/>
  <c r="C9" i="2"/>
  <c r="D9" i="2"/>
  <c r="E9" i="2"/>
  <c r="F9" i="2"/>
  <c r="G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Q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B13" i="2"/>
  <c r="C13" i="2"/>
  <c r="D13" i="2"/>
  <c r="E13" i="2"/>
  <c r="F13" i="2"/>
  <c r="G13" i="2"/>
  <c r="H13" i="2"/>
  <c r="I13" i="2"/>
  <c r="J13" i="2"/>
  <c r="L13" i="2"/>
  <c r="M13" i="2"/>
  <c r="O13" i="2"/>
  <c r="P13" i="2"/>
  <c r="Q13" i="2"/>
  <c r="R13" i="2"/>
  <c r="S13" i="2"/>
  <c r="U13" i="2"/>
  <c r="V13" i="2"/>
  <c r="W13" i="2"/>
  <c r="X13" i="2"/>
  <c r="Y13" i="2"/>
  <c r="Z13" i="2"/>
  <c r="AA13" i="2"/>
  <c r="AB13" i="2"/>
  <c r="AC13" i="2"/>
  <c r="AD13" i="2"/>
  <c r="AE13" i="2"/>
  <c r="B14" i="2"/>
  <c r="C14" i="2"/>
  <c r="D14" i="2"/>
  <c r="E14" i="2"/>
  <c r="F14" i="2"/>
  <c r="G14" i="2"/>
  <c r="H14" i="2"/>
  <c r="I14" i="2"/>
  <c r="K14" i="2"/>
  <c r="L14" i="2"/>
  <c r="M14" i="2"/>
  <c r="N14" i="2"/>
  <c r="O14" i="2"/>
  <c r="P14" i="2"/>
  <c r="Q14" i="2"/>
  <c r="R14" i="2"/>
  <c r="S14" i="2"/>
  <c r="T14" i="2"/>
  <c r="V14" i="2"/>
  <c r="W14" i="2"/>
  <c r="X14" i="2"/>
  <c r="Y14" i="2"/>
  <c r="Z14" i="2"/>
  <c r="AA14" i="2"/>
  <c r="AB14" i="2"/>
  <c r="AC14" i="2"/>
  <c r="AD14" i="2"/>
  <c r="AE14" i="2"/>
  <c r="B15" i="2"/>
  <c r="C15" i="2"/>
  <c r="D15" i="2"/>
  <c r="E15" i="2"/>
  <c r="F15" i="2"/>
  <c r="G15" i="2"/>
  <c r="H15" i="2"/>
  <c r="J15" i="2"/>
  <c r="K15" i="2"/>
  <c r="L15" i="2"/>
  <c r="M15" i="2"/>
  <c r="N15" i="2"/>
  <c r="O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W17" i="2"/>
  <c r="X17" i="2"/>
  <c r="Y17" i="2"/>
  <c r="Z17" i="2"/>
  <c r="AA17" i="2"/>
  <c r="AB17" i="2"/>
  <c r="AC17" i="2"/>
  <c r="AE17" i="2"/>
  <c r="B18" i="2"/>
  <c r="C18" i="2"/>
  <c r="D18" i="2"/>
  <c r="E18" i="2"/>
  <c r="F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Z18" i="2"/>
  <c r="AA18" i="2"/>
  <c r="AB18" i="2"/>
  <c r="AC18" i="2"/>
  <c r="AD18" i="2"/>
  <c r="AE18" i="2"/>
  <c r="B19" i="2"/>
  <c r="C19" i="2"/>
  <c r="D19" i="2"/>
  <c r="E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Z19" i="2"/>
  <c r="AA19" i="2"/>
  <c r="AC19" i="2"/>
  <c r="AD19" i="2"/>
  <c r="AE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B22" i="2"/>
  <c r="C22" i="2"/>
  <c r="D22" i="2"/>
  <c r="E22" i="2"/>
  <c r="F22" i="2"/>
  <c r="G22" i="2"/>
  <c r="H22" i="2"/>
  <c r="I22" i="2"/>
  <c r="J22" i="2"/>
  <c r="K22" i="2"/>
  <c r="L22" i="2"/>
  <c r="M22" i="2"/>
  <c r="O22" i="2"/>
  <c r="P22" i="2"/>
  <c r="Q22" i="2"/>
  <c r="R22" i="2"/>
  <c r="S22" i="2"/>
  <c r="U22" i="2"/>
  <c r="V22" i="2"/>
  <c r="W22" i="2"/>
  <c r="X22" i="2"/>
  <c r="Y22" i="2"/>
  <c r="Z22" i="2"/>
  <c r="AA22" i="2"/>
  <c r="AB22" i="2"/>
  <c r="AC22" i="2"/>
  <c r="AD22" i="2"/>
  <c r="AE22" i="2"/>
  <c r="B23" i="2"/>
  <c r="C23" i="2"/>
  <c r="D23" i="2"/>
  <c r="E23" i="2"/>
  <c r="F23" i="2"/>
  <c r="H23" i="2"/>
  <c r="I23" i="2"/>
  <c r="J23" i="2"/>
  <c r="K23" i="2"/>
  <c r="L23" i="2"/>
  <c r="M23" i="2"/>
  <c r="N23" i="2"/>
  <c r="O23" i="2"/>
  <c r="P23" i="2"/>
  <c r="Q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B24" i="2"/>
  <c r="C24" i="2"/>
  <c r="D24" i="2"/>
  <c r="E24" i="2"/>
  <c r="F24" i="2"/>
  <c r="G24" i="2"/>
  <c r="H24" i="2"/>
  <c r="J24" i="2"/>
  <c r="K24" i="2"/>
  <c r="L24" i="2"/>
  <c r="M24" i="2"/>
  <c r="N24" i="2"/>
  <c r="O24" i="2"/>
  <c r="P24" i="2"/>
  <c r="Q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B25" i="2"/>
  <c r="C25" i="2"/>
  <c r="D25" i="2"/>
  <c r="E25" i="2"/>
  <c r="F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AA25" i="2"/>
  <c r="AB25" i="2"/>
  <c r="AC25" i="2"/>
  <c r="AD25" i="2"/>
  <c r="AE25" i="2"/>
  <c r="B26" i="2"/>
  <c r="C26" i="2"/>
  <c r="D26" i="2"/>
  <c r="E26" i="2"/>
  <c r="F26" i="2"/>
  <c r="G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B27" i="2"/>
  <c r="C27" i="2"/>
  <c r="D27" i="2"/>
  <c r="E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B29" i="2"/>
  <c r="C29" i="2"/>
  <c r="D29" i="2"/>
  <c r="F29" i="2"/>
  <c r="H29" i="2"/>
  <c r="I29" i="2"/>
  <c r="J29" i="2"/>
  <c r="K29" i="2"/>
  <c r="L29" i="2"/>
  <c r="M29" i="2"/>
  <c r="N29" i="2"/>
  <c r="O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N1" i="1" l="1"/>
  <c r="AM1" i="1"/>
  <c r="AP2" i="1" s="1"/>
  <c r="AO3" i="1"/>
  <c r="AN2" i="1"/>
  <c r="A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<sst xmlns="http://schemas.openxmlformats.org/spreadsheetml/2006/main" count="7" uniqueCount="7">
  <si>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步数</t>
  </si>
  <si>
    <t>复位开关</t>
    <phoneticPr fontId="1" type="noConversion"/>
  </si>
  <si>
    <t>机器人坐标</t>
    <phoneticPr fontId="1" type="noConversion"/>
  </si>
  <si>
    <t>障碍物X</t>
  </si>
  <si>
    <t>障碍物Y</t>
  </si>
  <si>
    <t>引力权重(α)</t>
  </si>
  <si>
    <t>斥力权重(β)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</si>
</sst>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9"/>
      <name val="宋体"/>
      <family val="3"/>
      <charset val="134"/>
      <scheme val="minor"/>
    </font>
    <font>
      <sz val="6"/>
      <color rgb="FFE3E3E3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8"/>
  <sheetViews>
    <sheetView tabSelected="1" workbookViewId="0">
      <selection activeCell="AH10" sqref="AH10"/>
    </sheetView>
  </sheetViews>
  <sheetFormatPr defaultColWidth="2.59765625" defaultRowHeight="13.5"/>
  <cols>
    <col min="32" max="32" width="10.53125" customWidth="1"/>
    <col min="33" max="34" width="8.06640625" bestFit="1" customWidth="1"/>
    <col min="37" max="37" width="7.73046875" customWidth="1"/>
    <col min="38" max="38" width="8.1328125" customWidth="1"/>
    <col min="39" max="40" width="6.06640625" bestFit="1" customWidth="1"/>
    <col min="41" max="41" width="5.86328125" customWidth="1"/>
    <col min="42" max="42" width="3.06640625" bestFit="1" customWidth="1"/>
    <col min="43" max="43" width="11.9296875" customWidth="1"/>
    <col min="44" max="44" width="6.06640625" bestFit="1" customWidth="1"/>
  </cols>
  <sheetData>
    <row r="1" spans="1:4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>
        <v>30</v>
      </c>
      <c r="AF1" s="10" t="s">
        <v>1</v>
      </c>
      <c r="AG1">
        <v>1</v>
      </c>
      <c r="AK1" s="10" t="s">
        <v>3</v>
      </c>
      <c r="AL1" s="10" t="s">
        <v>4</v>
      </c>
      <c r="AM1" s="10">
        <f ca="1">OFFSET(Sheet3!$A$1, 30-$AH$5, $AG$5-1)</f>
        <v>99999</v>
      </c>
      <c r="AN1" s="10">
        <f ca="1">OFFSET(Sheet3!$A$1, 30-$AH$5, $AG$5)</f>
        <v>4777.5113179642822</v>
      </c>
      <c r="AO1" s="10">
        <f ca="1">OFFSET(Sheet3!$A$1, 30-$AH$5, $AG$5+1)</f>
        <v>6234.264512750573</v>
      </c>
      <c r="AQ1" s="10" t="s">
        <v>5</v>
      </c>
      <c r="AR1" s="10">
        <v>1</v>
      </c>
    </row>
    <row r="2" spans="1:44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>
        <v>29</v>
      </c>
      <c r="AF2" s="10" t="s">
        <v>0</v>
      </c>
      <c r="AG2" s="11">
        <f>IF($AG$1=1, 0, $AG$2+1)</f>
        <v>0</v>
      </c>
      <c r="AK2">
        <v>1</v>
      </c>
      <c r="AL2">
        <v>30</v>
      </c>
      <c r="AM2" s="10">
        <f ca="1">OFFSET(Sheet3!$A$1, 31-$AH$5, $AG$5-1)</f>
        <v>99999</v>
      </c>
      <c r="AN2" s="10">
        <f ca="1">OFFSET(Sheet3!$A$1, 31-$AH$5, $AG$5)</f>
        <v>4326.0090524753587</v>
      </c>
      <c r="AO2" s="10">
        <f ca="1">OFFSET(Sheet3!$A$1, 31-$AH$5, $AG$5+1)</f>
        <v>5119.4067719737686</v>
      </c>
      <c r="AP2" s="10">
        <f ca="1">MIN(AM1:AO1, AM2, AO2, AM3:AO3)</f>
        <v>4777.5113179642822</v>
      </c>
      <c r="AQ2" s="10" t="s">
        <v>6</v>
      </c>
      <c r="AR2" s="10">
        <v>10000</v>
      </c>
    </row>
    <row r="3" spans="1:44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6"/>
      <c r="AE3">
        <v>28</v>
      </c>
      <c r="AF3">
        <v>1</v>
      </c>
      <c r="AG3">
        <v>1</v>
      </c>
      <c r="AK3">
        <v>30</v>
      </c>
      <c r="AL3">
        <v>1</v>
      </c>
      <c r="AM3" s="10">
        <f ca="1">OFFSET(Sheet3!$A$1, 32-$AH$5, $AG$5-1)</f>
        <v>99999</v>
      </c>
      <c r="AN3" s="10">
        <f ca="1">OFFSET(Sheet3!$A$1, 32-$AH$5, $AG$5)</f>
        <v>99999</v>
      </c>
      <c r="AO3" s="10">
        <f ca="1">OFFSET(Sheet3!$A$1, 32-$AH$5, $AG$5+1)</f>
        <v>99999</v>
      </c>
    </row>
    <row r="4" spans="1:4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  <c r="AE4">
        <v>27</v>
      </c>
      <c r="AF4">
        <v>30</v>
      </c>
      <c r="AG4">
        <v>30</v>
      </c>
      <c r="AK4">
        <v>25</v>
      </c>
      <c r="AL4">
        <v>7</v>
      </c>
    </row>
    <row r="5" spans="1:44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6"/>
      <c r="AE5">
        <v>26</v>
      </c>
      <c r="AF5" s="10" t="s">
        <v>2</v>
      </c>
      <c r="AG5" s="12">
        <f>IF($AG$1=1, $AF$3, IF(OR($AN$2=0, $AP$2&gt;=99999), $AG$5, IF(OR($AM$1=$AP$2, $AM$2=$AP$2, $AM$3=$AP$2), $AG$5-1, IF(OR($AO$1=$AP$2, $AO$2=$AP$2, $AO$3=$AP$2), $AG$5+1, $AG$5))))</f>
        <v>1</v>
      </c>
      <c r="AH5" s="10">
        <f>IF($AG$1=1, $AG$3, IF(OR($AN$2=0, $AP$2&gt;=99999), $AH$5, IF(OR($AM$1=$AP$2, $AN$1=$AP$2, $AO$1=$AP$2), $AH$5+1, IF(OR($AM$3=$AP$2, $AN$3=$AP$2, $AO$3=$AP$2), $AH$5-1, $AH$5))))</f>
        <v>1</v>
      </c>
      <c r="AK5">
        <v>6</v>
      </c>
      <c r="AL5">
        <v>3</v>
      </c>
    </row>
    <row r="6" spans="1:44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6"/>
      <c r="AE6">
        <v>25</v>
      </c>
      <c r="AK6">
        <v>7</v>
      </c>
      <c r="AL6">
        <v>6</v>
      </c>
    </row>
    <row r="7" spans="1:44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6"/>
      <c r="AE7">
        <v>24</v>
      </c>
      <c r="AK7">
        <v>5</v>
      </c>
      <c r="AL7">
        <v>5</v>
      </c>
    </row>
    <row r="8" spans="1:44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6"/>
      <c r="AE8">
        <v>23</v>
      </c>
      <c r="AK8">
        <v>8</v>
      </c>
      <c r="AL8">
        <v>8</v>
      </c>
    </row>
    <row r="9" spans="1:44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6"/>
      <c r="AE9">
        <v>22</v>
      </c>
      <c r="AK9">
        <v>4</v>
      </c>
      <c r="AL9">
        <v>3</v>
      </c>
    </row>
    <row r="10" spans="1:44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6"/>
      <c r="AE10">
        <v>21</v>
      </c>
      <c r="AK10">
        <v>6</v>
      </c>
      <c r="AL10">
        <v>7</v>
      </c>
    </row>
    <row r="11" spans="1:4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6"/>
      <c r="AE11">
        <v>20</v>
      </c>
      <c r="AK11">
        <v>6</v>
      </c>
      <c r="AL11">
        <v>9</v>
      </c>
    </row>
    <row r="12" spans="1:4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6"/>
      <c r="AE12">
        <v>19</v>
      </c>
      <c r="AK12">
        <v>7</v>
      </c>
      <c r="AL12">
        <v>23</v>
      </c>
    </row>
    <row r="13" spans="1:4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6"/>
      <c r="AE13">
        <v>18</v>
      </c>
      <c r="AK13">
        <v>7</v>
      </c>
      <c r="AL13">
        <v>24</v>
      </c>
    </row>
    <row r="14" spans="1:4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6"/>
      <c r="AE14">
        <v>17</v>
      </c>
      <c r="AK14">
        <v>6</v>
      </c>
      <c r="AL14">
        <v>14</v>
      </c>
    </row>
    <row r="15" spans="1:4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6"/>
      <c r="AE15">
        <v>16</v>
      </c>
      <c r="AK15">
        <v>5</v>
      </c>
      <c r="AL15">
        <v>13</v>
      </c>
    </row>
    <row r="16" spans="1:44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6"/>
      <c r="AE16">
        <v>15</v>
      </c>
      <c r="AK16">
        <v>3</v>
      </c>
      <c r="AL16">
        <v>24</v>
      </c>
    </row>
    <row r="17" spans="1:38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6"/>
      <c r="AE17">
        <v>14</v>
      </c>
      <c r="AK17">
        <v>29</v>
      </c>
      <c r="AL17">
        <v>15</v>
      </c>
    </row>
    <row r="18" spans="1:3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6"/>
      <c r="AE18">
        <v>13</v>
      </c>
      <c r="AK18">
        <v>15</v>
      </c>
      <c r="AL18">
        <v>3</v>
      </c>
    </row>
    <row r="19" spans="1:38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6"/>
      <c r="AE19">
        <v>12</v>
      </c>
      <c r="AK19">
        <v>24</v>
      </c>
      <c r="AL19">
        <v>14</v>
      </c>
    </row>
    <row r="20" spans="1:38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6"/>
      <c r="AE20">
        <v>11</v>
      </c>
      <c r="AK20">
        <v>19</v>
      </c>
      <c r="AL20">
        <v>25</v>
      </c>
    </row>
    <row r="21" spans="1:38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6"/>
      <c r="AE21">
        <v>10</v>
      </c>
      <c r="AK21">
        <v>27</v>
      </c>
      <c r="AL21">
        <v>13</v>
      </c>
    </row>
    <row r="22" spans="1:38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6"/>
      <c r="AE22">
        <v>9</v>
      </c>
      <c r="AK22">
        <v>24</v>
      </c>
      <c r="AL22">
        <v>13</v>
      </c>
    </row>
    <row r="23" spans="1:38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6"/>
      <c r="AE23">
        <v>8</v>
      </c>
      <c r="AK23">
        <v>26</v>
      </c>
      <c r="AL23">
        <v>24</v>
      </c>
    </row>
    <row r="24" spans="1:38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6"/>
      <c r="AE24">
        <v>7</v>
      </c>
      <c r="AK24">
        <v>15</v>
      </c>
      <c r="AL24">
        <v>20</v>
      </c>
    </row>
    <row r="25" spans="1:38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6"/>
      <c r="AE25">
        <v>6</v>
      </c>
      <c r="AK25">
        <v>13</v>
      </c>
      <c r="AL25">
        <v>19</v>
      </c>
    </row>
    <row r="26" spans="1:38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6"/>
      <c r="AE26">
        <v>5</v>
      </c>
      <c r="AK26">
        <v>16</v>
      </c>
      <c r="AL26">
        <v>25</v>
      </c>
    </row>
    <row r="27" spans="1:38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6"/>
      <c r="AE27">
        <v>4</v>
      </c>
      <c r="AK27">
        <v>13</v>
      </c>
      <c r="AL27">
        <v>10</v>
      </c>
    </row>
    <row r="28" spans="1:3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6"/>
      <c r="AE28">
        <v>3</v>
      </c>
      <c r="AK28">
        <v>15</v>
      </c>
      <c r="AL28">
        <v>17</v>
      </c>
    </row>
    <row r="29" spans="1:38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6"/>
      <c r="AE29">
        <v>2</v>
      </c>
      <c r="AK29">
        <v>21</v>
      </c>
      <c r="AL29">
        <v>15</v>
      </c>
    </row>
    <row r="30" spans="1:38" ht="13.9" thickBot="1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>
        <v>1</v>
      </c>
      <c r="AK30">
        <v>17</v>
      </c>
      <c r="AL30">
        <v>8</v>
      </c>
    </row>
    <row r="31" spans="1:38">
      <c r="A31">
        <v>1</v>
      </c>
      <c r="B31">
        <v>2</v>
      </c>
      <c r="C31">
        <v>3</v>
      </c>
      <c r="D31">
        <v>4</v>
      </c>
      <c r="E31">
        <v>5</v>
      </c>
      <c r="F31">
        <v>6</v>
      </c>
      <c r="G31">
        <v>7</v>
      </c>
      <c r="H31">
        <v>8</v>
      </c>
      <c r="I31">
        <v>9</v>
      </c>
      <c r="J31">
        <v>10</v>
      </c>
      <c r="K31">
        <v>11</v>
      </c>
      <c r="L31">
        <v>12</v>
      </c>
      <c r="M31">
        <v>13</v>
      </c>
      <c r="N31">
        <v>14</v>
      </c>
      <c r="O31">
        <v>15</v>
      </c>
      <c r="P31">
        <v>16</v>
      </c>
      <c r="Q31">
        <v>17</v>
      </c>
      <c r="R31">
        <v>18</v>
      </c>
      <c r="S31">
        <v>19</v>
      </c>
      <c r="T31">
        <v>20</v>
      </c>
      <c r="U31">
        <v>21</v>
      </c>
      <c r="V31">
        <v>22</v>
      </c>
      <c r="W31">
        <v>23</v>
      </c>
      <c r="X31">
        <v>24</v>
      </c>
      <c r="Y31">
        <v>25</v>
      </c>
      <c r="Z31">
        <v>26</v>
      </c>
      <c r="AA31">
        <v>27</v>
      </c>
      <c r="AB31">
        <v>28</v>
      </c>
      <c r="AC31">
        <v>29</v>
      </c>
      <c r="AD31">
        <v>30</v>
      </c>
      <c r="AK31">
        <v>18</v>
      </c>
      <c r="AL31">
        <v>9</v>
      </c>
    </row>
    <row r="32" spans="1:38">
      <c r="AK32">
        <v>19</v>
      </c>
      <c r="AL32">
        <v>10</v>
      </c>
    </row>
    <row r="33" spans="37:38">
      <c r="AK33">
        <v>8</v>
      </c>
      <c r="AL33">
        <v>17</v>
      </c>
    </row>
    <row r="34" spans="37:38">
      <c r="AK34">
        <v>9</v>
      </c>
      <c r="AL34">
        <v>18</v>
      </c>
    </row>
    <row r="35" spans="37:38">
      <c r="AK35">
        <v>10</v>
      </c>
      <c r="AL35">
        <v>19</v>
      </c>
    </row>
    <row r="36" spans="37:38">
      <c r="AK36">
        <v>18</v>
      </c>
      <c r="AL36">
        <v>20</v>
      </c>
    </row>
    <row r="37" spans="37:38">
      <c r="AK37">
        <v>19</v>
      </c>
      <c r="AL37">
        <v>19</v>
      </c>
    </row>
    <row r="38" spans="37:38">
      <c r="AK38">
        <v>20</v>
      </c>
      <c r="AL38">
        <v>18</v>
      </c>
    </row>
  </sheetData>
  <phoneticPr fontId="1" type="noConversion"/>
  <conditionalFormatting sqref="A1:AD30">
    <cfRule type="expression" dxfId="3" priority="2">
      <formula>COUNTIFS($AK$1:$AK$50, COLUMN(), $AL$1:$AL$50, 31-ROW())&gt;0</formula>
    </cfRule>
    <cfRule type="expression" dxfId="2" priority="1">
      <formula>AND(COLUMN()=$AG$5, (31-ROW())=$AH$5)</formula>
    </cfRule>
    <cfRule type="expression" dxfId="1" priority="3">
      <formula>AND(COLUMN()=$AF$3, (31-ROW())=$AG$3)</formula>
    </cfRule>
    <cfRule type="expression" dxfId="0" priority="4">
      <formula>AND(COLUMN()=$AF$4, (31-ROW())=$AG$4)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"/>
  <sheetViews>
    <sheetView zoomScale="85" zoomScaleNormal="85" workbookViewId="0">
      <selection activeCell="AN20" sqref="AN20"/>
    </sheetView>
  </sheetViews>
  <sheetFormatPr defaultColWidth="2.59765625" defaultRowHeight="13.5"/>
  <cols>
    <col min="1" max="32" width="4.06640625" bestFit="1" customWidth="1"/>
  </cols>
  <sheetData>
    <row r="1" spans="1:32">
      <c r="A1">
        <v>999</v>
      </c>
      <c r="B1">
        <v>999</v>
      </c>
      <c r="C1">
        <v>999</v>
      </c>
      <c r="D1">
        <v>999</v>
      </c>
      <c r="E1">
        <v>999</v>
      </c>
      <c r="F1">
        <v>999</v>
      </c>
      <c r="G1">
        <v>999</v>
      </c>
      <c r="H1">
        <v>999</v>
      </c>
      <c r="I1">
        <v>999</v>
      </c>
      <c r="J1">
        <v>999</v>
      </c>
      <c r="K1">
        <v>999</v>
      </c>
      <c r="L1">
        <v>999</v>
      </c>
      <c r="M1">
        <v>999</v>
      </c>
      <c r="N1">
        <v>999</v>
      </c>
      <c r="O1">
        <v>999</v>
      </c>
      <c r="P1">
        <v>999</v>
      </c>
      <c r="Q1">
        <v>999</v>
      </c>
      <c r="R1">
        <v>999</v>
      </c>
      <c r="S1">
        <v>999</v>
      </c>
      <c r="T1">
        <v>999</v>
      </c>
      <c r="U1">
        <v>999</v>
      </c>
      <c r="V1">
        <v>999</v>
      </c>
      <c r="W1">
        <v>999</v>
      </c>
      <c r="X1">
        <v>999</v>
      </c>
      <c r="Y1">
        <v>999</v>
      </c>
      <c r="Z1">
        <v>999</v>
      </c>
      <c r="AA1">
        <v>999</v>
      </c>
      <c r="AB1">
        <v>999</v>
      </c>
      <c r="AC1">
        <v>999</v>
      </c>
      <c r="AD1">
        <v>999</v>
      </c>
      <c r="AE1">
        <v>999</v>
      </c>
      <c r="AF1">
        <v>999</v>
      </c>
    </row>
    <row r="2" spans="1:32">
      <c r="A2">
        <v>999</v>
      </c>
      <c r="B2">
        <f>IF(Sheet1!$AG$1=1, IF(AND(COLUMN()-1=Sheet1!$AF$4, 32-ROW()=Sheet1!$AG$4), 0, 999), IF(COUNTIFS(Sheet1!$AK$1:$AK$50, COLUMN()-1, Sheet1!$AL$1:$AL$50, 32-ROW())&gt;0, 999, IF(AND(COLUMN()-1=Sheet1!$AF$4, 32-ROW()=Sheet1!$AG$4), 0, MIN(A1, B1, C1, A2, C2, A3, B3, C3) + 1)))</f>
        <v>999</v>
      </c>
      <c r="C2">
        <f>IF(Sheet1!$AG$1=1, IF(AND(COLUMN()-1=Sheet1!$AF$4, 32-ROW()=Sheet1!$AG$4), 0, 999), IF(COUNTIFS(Sheet1!$AK$1:$AK$50, COLUMN()-1, Sheet1!$AL$1:$AL$50, 32-ROW())&gt;0, 999, IF(AND(COLUMN()-1=Sheet1!$AF$4, 32-ROW()=Sheet1!$AG$4), 0, MIN(B1, C1, D1, B2, D2, B3, C3, D3) + 1)))</f>
        <v>999</v>
      </c>
      <c r="D2">
        <f>IF(Sheet1!$AG$1=1, IF(AND(COLUMN()-1=Sheet1!$AF$4, 32-ROW()=Sheet1!$AG$4), 0, 999), IF(COUNTIFS(Sheet1!$AK$1:$AK$50, COLUMN()-1, Sheet1!$AL$1:$AL$50, 32-ROW())&gt;0, 999, IF(AND(COLUMN()-1=Sheet1!$AF$4, 32-ROW()=Sheet1!$AG$4), 0, MIN(C1, D1, E1, C2, E2, C3, D3, E3) + 1)))</f>
        <v>999</v>
      </c>
      <c r="E2">
        <f>IF(Sheet1!$AG$1=1, IF(AND(COLUMN()-1=Sheet1!$AF$4, 32-ROW()=Sheet1!$AG$4), 0, 999), IF(COUNTIFS(Sheet1!$AK$1:$AK$50, COLUMN()-1, Sheet1!$AL$1:$AL$50, 32-ROW())&gt;0, 999, IF(AND(COLUMN()-1=Sheet1!$AF$4, 32-ROW()=Sheet1!$AG$4), 0, MIN(D1, E1, F1, D2, F2, D3, E3, F3) + 1)))</f>
        <v>999</v>
      </c>
      <c r="F2">
        <f>IF(Sheet1!$AG$1=1, IF(AND(COLUMN()-1=Sheet1!$AF$4, 32-ROW()=Sheet1!$AG$4), 0, 999), IF(COUNTIFS(Sheet1!$AK$1:$AK$50, COLUMN()-1, Sheet1!$AL$1:$AL$50, 32-ROW())&gt;0, 999, IF(AND(COLUMN()-1=Sheet1!$AF$4, 32-ROW()=Sheet1!$AG$4), 0, MIN(E1, F1, G1, E2, G2, E3, F3, G3) + 1)))</f>
        <v>999</v>
      </c>
      <c r="G2">
        <f>IF(Sheet1!$AG$1=1, IF(AND(COLUMN()-1=Sheet1!$AF$4, 32-ROW()=Sheet1!$AG$4), 0, 999), IF(COUNTIFS(Sheet1!$AK$1:$AK$50, COLUMN()-1, Sheet1!$AL$1:$AL$50, 32-ROW())&gt;0, 999, IF(AND(COLUMN()-1=Sheet1!$AF$4, 32-ROW()=Sheet1!$AG$4), 0, MIN(F1, G1, H1, F2, H2, F3, G3, H3) + 1)))</f>
        <v>999</v>
      </c>
      <c r="H2">
        <f>IF(Sheet1!$AG$1=1, IF(AND(COLUMN()-1=Sheet1!$AF$4, 32-ROW()=Sheet1!$AG$4), 0, 999), IF(COUNTIFS(Sheet1!$AK$1:$AK$50, COLUMN()-1, Sheet1!$AL$1:$AL$50, 32-ROW())&gt;0, 999, IF(AND(COLUMN()-1=Sheet1!$AF$4, 32-ROW()=Sheet1!$AG$4), 0, MIN(G1, H1, I1, G2, I2, G3, H3, I3) + 1)))</f>
        <v>999</v>
      </c>
      <c r="I2">
        <f>IF(Sheet1!$AG$1=1, IF(AND(COLUMN()-1=Sheet1!$AF$4, 32-ROW()=Sheet1!$AG$4), 0, 999), IF(COUNTIFS(Sheet1!$AK$1:$AK$50, COLUMN()-1, Sheet1!$AL$1:$AL$50, 32-ROW())&gt;0, 999, IF(AND(COLUMN()-1=Sheet1!$AF$4, 32-ROW()=Sheet1!$AG$4), 0, MIN(H1, I1, J1, H2, J2, H3, I3, J3) + 1)))</f>
        <v>999</v>
      </c>
      <c r="J2">
        <f>IF(Sheet1!$AG$1=1, IF(AND(COLUMN()-1=Sheet1!$AF$4, 32-ROW()=Sheet1!$AG$4), 0, 999), IF(COUNTIFS(Sheet1!$AK$1:$AK$50, COLUMN()-1, Sheet1!$AL$1:$AL$50, 32-ROW())&gt;0, 999, IF(AND(COLUMN()-1=Sheet1!$AF$4, 32-ROW()=Sheet1!$AG$4), 0, MIN(I1, J1, K1, I2, K2, I3, J3, K3) + 1)))</f>
        <v>999</v>
      </c>
      <c r="K2">
        <f>IF(Sheet1!$AG$1=1, IF(AND(COLUMN()-1=Sheet1!$AF$4, 32-ROW()=Sheet1!$AG$4), 0, 999), IF(COUNTIFS(Sheet1!$AK$1:$AK$50, COLUMN()-1, Sheet1!$AL$1:$AL$50, 32-ROW())&gt;0, 999, IF(AND(COLUMN()-1=Sheet1!$AF$4, 32-ROW()=Sheet1!$AG$4), 0, MIN(J1, K1, L1, J2, L2, J3, K3, L3) + 1)))</f>
        <v>999</v>
      </c>
      <c r="L2">
        <f>IF(Sheet1!$AG$1=1, IF(AND(COLUMN()-1=Sheet1!$AF$4, 32-ROW()=Sheet1!$AG$4), 0, 999), IF(COUNTIFS(Sheet1!$AK$1:$AK$50, COLUMN()-1, Sheet1!$AL$1:$AL$50, 32-ROW())&gt;0, 999, IF(AND(COLUMN()-1=Sheet1!$AF$4, 32-ROW()=Sheet1!$AG$4), 0, MIN(K1, L1, M1, K2, M2, K3, L3, M3) + 1)))</f>
        <v>999</v>
      </c>
      <c r="M2">
        <f>IF(Sheet1!$AG$1=1, IF(AND(COLUMN()-1=Sheet1!$AF$4, 32-ROW()=Sheet1!$AG$4), 0, 999), IF(COUNTIFS(Sheet1!$AK$1:$AK$50, COLUMN()-1, Sheet1!$AL$1:$AL$50, 32-ROW())&gt;0, 999, IF(AND(COLUMN()-1=Sheet1!$AF$4, 32-ROW()=Sheet1!$AG$4), 0, MIN(L1, M1, N1, L2, N2, L3, M3, N3) + 1)))</f>
        <v>999</v>
      </c>
      <c r="N2">
        <f>IF(Sheet1!$AG$1=1, IF(AND(COLUMN()-1=Sheet1!$AF$4, 32-ROW()=Sheet1!$AG$4), 0, 999), IF(COUNTIFS(Sheet1!$AK$1:$AK$50, COLUMN()-1, Sheet1!$AL$1:$AL$50, 32-ROW())&gt;0, 999, IF(AND(COLUMN()-1=Sheet1!$AF$4, 32-ROW()=Sheet1!$AG$4), 0, MIN(M1, N1, O1, M2, O2, M3, N3, O3) + 1)))</f>
        <v>999</v>
      </c>
      <c r="O2">
        <f>IF(Sheet1!$AG$1=1, IF(AND(COLUMN()-1=Sheet1!$AF$4, 32-ROW()=Sheet1!$AG$4), 0, 999), IF(COUNTIFS(Sheet1!$AK$1:$AK$50, COLUMN()-1, Sheet1!$AL$1:$AL$50, 32-ROW())&gt;0, 999, IF(AND(COLUMN()-1=Sheet1!$AF$4, 32-ROW()=Sheet1!$AG$4), 0, MIN(N1, O1, P1, N2, P2, N3, O3, P3) + 1)))</f>
        <v>999</v>
      </c>
      <c r="P2">
        <f>IF(Sheet1!$AG$1=1, IF(AND(COLUMN()-1=Sheet1!$AF$4, 32-ROW()=Sheet1!$AG$4), 0, 999), IF(COUNTIFS(Sheet1!$AK$1:$AK$50, COLUMN()-1, Sheet1!$AL$1:$AL$50, 32-ROW())&gt;0, 999, IF(AND(COLUMN()-1=Sheet1!$AF$4, 32-ROW()=Sheet1!$AG$4), 0, MIN(O1, P1, Q1, O2, Q2, O3, P3, Q3) + 1)))</f>
        <v>999</v>
      </c>
      <c r="Q2">
        <f>IF(Sheet1!$AG$1=1, IF(AND(COLUMN()-1=Sheet1!$AF$4, 32-ROW()=Sheet1!$AG$4), 0, 999), IF(COUNTIFS(Sheet1!$AK$1:$AK$50, COLUMN()-1, Sheet1!$AL$1:$AL$50, 32-ROW())&gt;0, 999, IF(AND(COLUMN()-1=Sheet1!$AF$4, 32-ROW()=Sheet1!$AG$4), 0, MIN(P1, Q1, R1, P2, R2, P3, Q3, R3) + 1)))</f>
        <v>999</v>
      </c>
      <c r="R2">
        <f>IF(Sheet1!$AG$1=1, IF(AND(COLUMN()-1=Sheet1!$AF$4, 32-ROW()=Sheet1!$AG$4), 0, 999), IF(COUNTIFS(Sheet1!$AK$1:$AK$50, COLUMN()-1, Sheet1!$AL$1:$AL$50, 32-ROW())&gt;0, 999, IF(AND(COLUMN()-1=Sheet1!$AF$4, 32-ROW()=Sheet1!$AG$4), 0, MIN(Q1, R1, S1, Q2, S2, Q3, R3, S3) + 1)))</f>
        <v>999</v>
      </c>
      <c r="S2">
        <f>IF(Sheet1!$AG$1=1, IF(AND(COLUMN()-1=Sheet1!$AF$4, 32-ROW()=Sheet1!$AG$4), 0, 999), IF(COUNTIFS(Sheet1!$AK$1:$AK$50, COLUMN()-1, Sheet1!$AL$1:$AL$50, 32-ROW())&gt;0, 999, IF(AND(COLUMN()-1=Sheet1!$AF$4, 32-ROW()=Sheet1!$AG$4), 0, MIN(R1, S1, T1, R2, T2, R3, S3, T3) + 1)))</f>
        <v>999</v>
      </c>
      <c r="T2">
        <f>IF(Sheet1!$AG$1=1, IF(AND(COLUMN()-1=Sheet1!$AF$4, 32-ROW()=Sheet1!$AG$4), 0, 999), IF(COUNTIFS(Sheet1!$AK$1:$AK$50, COLUMN()-1, Sheet1!$AL$1:$AL$50, 32-ROW())&gt;0, 999, IF(AND(COLUMN()-1=Sheet1!$AF$4, 32-ROW()=Sheet1!$AG$4), 0, MIN(S1, T1, U1, S2, U2, S3, T3, U3) + 1)))</f>
        <v>999</v>
      </c>
      <c r="U2">
        <f>IF(Sheet1!$AG$1=1, IF(AND(COLUMN()-1=Sheet1!$AF$4, 32-ROW()=Sheet1!$AG$4), 0, 999), IF(COUNTIFS(Sheet1!$AK$1:$AK$50, COLUMN()-1, Sheet1!$AL$1:$AL$50, 32-ROW())&gt;0, 999, IF(AND(COLUMN()-1=Sheet1!$AF$4, 32-ROW()=Sheet1!$AG$4), 0, MIN(T1, U1, V1, T2, V2, T3, U3, V3) + 1)))</f>
        <v>999</v>
      </c>
      <c r="V2">
        <f>IF(Sheet1!$AG$1=1, IF(AND(COLUMN()-1=Sheet1!$AF$4, 32-ROW()=Sheet1!$AG$4), 0, 999), IF(COUNTIFS(Sheet1!$AK$1:$AK$50, COLUMN()-1, Sheet1!$AL$1:$AL$50, 32-ROW())&gt;0, 999, IF(AND(COLUMN()-1=Sheet1!$AF$4, 32-ROW()=Sheet1!$AG$4), 0, MIN(U1, V1, W1, U2, W2, U3, V3, W3) + 1)))</f>
        <v>999</v>
      </c>
      <c r="W2">
        <f>IF(Sheet1!$AG$1=1, IF(AND(COLUMN()-1=Sheet1!$AF$4, 32-ROW()=Sheet1!$AG$4), 0, 999), IF(COUNTIFS(Sheet1!$AK$1:$AK$50, COLUMN()-1, Sheet1!$AL$1:$AL$50, 32-ROW())&gt;0, 999, IF(AND(COLUMN()-1=Sheet1!$AF$4, 32-ROW()=Sheet1!$AG$4), 0, MIN(V1, W1, X1, V2, X2, V3, W3, X3) + 1)))</f>
        <v>999</v>
      </c>
      <c r="X2">
        <f>IF(Sheet1!$AG$1=1, IF(AND(COLUMN()-1=Sheet1!$AF$4, 32-ROW()=Sheet1!$AG$4), 0, 999), IF(COUNTIFS(Sheet1!$AK$1:$AK$50, COLUMN()-1, Sheet1!$AL$1:$AL$50, 32-ROW())&gt;0, 999, IF(AND(COLUMN()-1=Sheet1!$AF$4, 32-ROW()=Sheet1!$AG$4), 0, MIN(W1, X1, Y1, W2, Y2, W3, X3, Y3) + 1)))</f>
        <v>999</v>
      </c>
      <c r="Y2">
        <f>IF(Sheet1!$AG$1=1, IF(AND(COLUMN()-1=Sheet1!$AF$4, 32-ROW()=Sheet1!$AG$4), 0, 999), IF(COUNTIFS(Sheet1!$AK$1:$AK$50, COLUMN()-1, Sheet1!$AL$1:$AL$50, 32-ROW())&gt;0, 999, IF(AND(COLUMN()-1=Sheet1!$AF$4, 32-ROW()=Sheet1!$AG$4), 0, MIN(X1, Y1, Z1, X2, Z2, X3, Y3, Z3) + 1)))</f>
        <v>999</v>
      </c>
      <c r="Z2">
        <f>IF(Sheet1!$AG$1=1, IF(AND(COLUMN()-1=Sheet1!$AF$4, 32-ROW()=Sheet1!$AG$4), 0, 999), IF(COUNTIFS(Sheet1!$AK$1:$AK$50, COLUMN()-1, Sheet1!$AL$1:$AL$50, 32-ROW())&gt;0, 999, IF(AND(COLUMN()-1=Sheet1!$AF$4, 32-ROW()=Sheet1!$AG$4), 0, MIN(Y1, Z1, AA1, Y2, AA2, Y3, Z3, AA3) + 1)))</f>
        <v>999</v>
      </c>
      <c r="AA2">
        <f>IF(Sheet1!$AG$1=1, IF(AND(COLUMN()-1=Sheet1!$AF$4, 32-ROW()=Sheet1!$AG$4), 0, 999), IF(COUNTIFS(Sheet1!$AK$1:$AK$50, COLUMN()-1, Sheet1!$AL$1:$AL$50, 32-ROW())&gt;0, 999, IF(AND(COLUMN()-1=Sheet1!$AF$4, 32-ROW()=Sheet1!$AG$4), 0, MIN(Z1, AA1, AB1, Z2, AB2, Z3, AA3, AB3) + 1)))</f>
        <v>999</v>
      </c>
      <c r="AB2">
        <f>IF(Sheet1!$AG$1=1, IF(AND(COLUMN()-1=Sheet1!$AF$4, 32-ROW()=Sheet1!$AG$4), 0, 999), IF(COUNTIFS(Sheet1!$AK$1:$AK$50, COLUMN()-1, Sheet1!$AL$1:$AL$50, 32-ROW())&gt;0, 999, IF(AND(COLUMN()-1=Sheet1!$AF$4, 32-ROW()=Sheet1!$AG$4), 0, MIN(AA1, AB1, AC1, AA2, AC2, AA3, AB3, AC3) + 1)))</f>
        <v>999</v>
      </c>
      <c r="AC2">
        <f>IF(Sheet1!$AG$1=1, IF(AND(COLUMN()-1=Sheet1!$AF$4, 32-ROW()=Sheet1!$AG$4), 0, 999), IF(COUNTIFS(Sheet1!$AK$1:$AK$50, COLUMN()-1, Sheet1!$AL$1:$AL$50, 32-ROW())&gt;0, 999, IF(AND(COLUMN()-1=Sheet1!$AF$4, 32-ROW()=Sheet1!$AG$4), 0, MIN(AB1, AC1, AD1, AB2, AD2, AB3, AC3, AD3) + 1)))</f>
        <v>999</v>
      </c>
      <c r="AD2">
        <f>IF(Sheet1!$AG$1=1, IF(AND(COLUMN()-1=Sheet1!$AF$4, 32-ROW()=Sheet1!$AG$4), 0, 999), IF(COUNTIFS(Sheet1!$AK$1:$AK$50, COLUMN()-1, Sheet1!$AL$1:$AL$50, 32-ROW())&gt;0, 999, IF(AND(COLUMN()-1=Sheet1!$AF$4, 32-ROW()=Sheet1!$AG$4), 0, MIN(AC1, AD1, AE1, AC2, AE2, AC3, AD3, AE3) + 1)))</f>
        <v>999</v>
      </c>
      <c r="AE2">
        <f>IF(Sheet1!$AG$1=1, IF(AND(COLUMN()-1=Sheet1!$AF$4, 32-ROW()=Sheet1!$AG$4), 0, 999), IF(COUNTIFS(Sheet1!$AK$1:$AK$50, COLUMN()-1, Sheet1!$AL$1:$AL$50, 32-ROW())&gt;0, 999, IF(AND(COLUMN()-1=Sheet1!$AF$4, 32-ROW()=Sheet1!$AG$4), 0, MIN(AD1, AE1, AF1, AD2, AF2, AD3, AE3, AF3) + 1)))</f>
        <v>0</v>
      </c>
      <c r="AF2">
        <v>999</v>
      </c>
    </row>
    <row r="3" spans="1:32">
      <c r="A3">
        <v>999</v>
      </c>
      <c r="B3">
        <f>IF(Sheet1!$AG$1=1, IF(AND(COLUMN()-1=Sheet1!$AF$4, 32-ROW()=Sheet1!$AG$4), 0, 999), IF(COUNTIFS(Sheet1!$AK$1:$AK$50, COLUMN()-1, Sheet1!$AL$1:$AL$50, 32-ROW())&gt;0, 999, IF(AND(COLUMN()-1=Sheet1!$AF$4, 32-ROW()=Sheet1!$AG$4), 0, MIN(A2, B2, C2, A3, C3, A4, B4, C4) + 1)))</f>
        <v>999</v>
      </c>
      <c r="C3">
        <f>IF(Sheet1!$AG$1=1, IF(AND(COLUMN()-1=Sheet1!$AF$4, 32-ROW()=Sheet1!$AG$4), 0, 999), IF(COUNTIFS(Sheet1!$AK$1:$AK$50, COLUMN()-1, Sheet1!$AL$1:$AL$50, 32-ROW())&gt;0, 999, IF(AND(COLUMN()-1=Sheet1!$AF$4, 32-ROW()=Sheet1!$AG$4), 0, MIN(B2, C2, D2, B3, D3, B4, C4, D4) + 1)))</f>
        <v>999</v>
      </c>
      <c r="D3">
        <f>IF(Sheet1!$AG$1=1, IF(AND(COLUMN()-1=Sheet1!$AF$4, 32-ROW()=Sheet1!$AG$4), 0, 999), IF(COUNTIFS(Sheet1!$AK$1:$AK$50, COLUMN()-1, Sheet1!$AL$1:$AL$50, 32-ROW())&gt;0, 999, IF(AND(COLUMN()-1=Sheet1!$AF$4, 32-ROW()=Sheet1!$AG$4), 0, MIN(C2, D2, E2, C3, E3, C4, D4, E4) + 1)))</f>
        <v>999</v>
      </c>
      <c r="E3">
        <f>IF(Sheet1!$AG$1=1, IF(AND(COLUMN()-1=Sheet1!$AF$4, 32-ROW()=Sheet1!$AG$4), 0, 999), IF(COUNTIFS(Sheet1!$AK$1:$AK$50, COLUMN()-1, Sheet1!$AL$1:$AL$50, 32-ROW())&gt;0, 999, IF(AND(COLUMN()-1=Sheet1!$AF$4, 32-ROW()=Sheet1!$AG$4), 0, MIN(D2, E2, F2, D3, F3, D4, E4, F4) + 1)))</f>
        <v>999</v>
      </c>
      <c r="F3">
        <f>IF(Sheet1!$AG$1=1, IF(AND(COLUMN()-1=Sheet1!$AF$4, 32-ROW()=Sheet1!$AG$4), 0, 999), IF(COUNTIFS(Sheet1!$AK$1:$AK$50, COLUMN()-1, Sheet1!$AL$1:$AL$50, 32-ROW())&gt;0, 999, IF(AND(COLUMN()-1=Sheet1!$AF$4, 32-ROW()=Sheet1!$AG$4), 0, MIN(E2, F2, G2, E3, G3, E4, F4, G4) + 1)))</f>
        <v>999</v>
      </c>
      <c r="G3">
        <f>IF(Sheet1!$AG$1=1, IF(AND(COLUMN()-1=Sheet1!$AF$4, 32-ROW()=Sheet1!$AG$4), 0, 999), IF(COUNTIFS(Sheet1!$AK$1:$AK$50, COLUMN()-1, Sheet1!$AL$1:$AL$50, 32-ROW())&gt;0, 999, IF(AND(COLUMN()-1=Sheet1!$AF$4, 32-ROW()=Sheet1!$AG$4), 0, MIN(F2, G2, H2, F3, H3, F4, G4, H4) + 1)))</f>
        <v>999</v>
      </c>
      <c r="H3">
        <f>IF(Sheet1!$AG$1=1, IF(AND(COLUMN()-1=Sheet1!$AF$4, 32-ROW()=Sheet1!$AG$4), 0, 999), IF(COUNTIFS(Sheet1!$AK$1:$AK$50, COLUMN()-1, Sheet1!$AL$1:$AL$50, 32-ROW())&gt;0, 999, IF(AND(COLUMN()-1=Sheet1!$AF$4, 32-ROW()=Sheet1!$AG$4), 0, MIN(G2, H2, I2, G3, I3, G4, H4, I4) + 1)))</f>
        <v>999</v>
      </c>
      <c r="I3">
        <f>IF(Sheet1!$AG$1=1, IF(AND(COLUMN()-1=Sheet1!$AF$4, 32-ROW()=Sheet1!$AG$4), 0, 999), IF(COUNTIFS(Sheet1!$AK$1:$AK$50, COLUMN()-1, Sheet1!$AL$1:$AL$50, 32-ROW())&gt;0, 999, IF(AND(COLUMN()-1=Sheet1!$AF$4, 32-ROW()=Sheet1!$AG$4), 0, MIN(H2, I2, J2, H3, J3, H4, I4, J4) + 1)))</f>
        <v>999</v>
      </c>
      <c r="J3">
        <f>IF(Sheet1!$AG$1=1, IF(AND(COLUMN()-1=Sheet1!$AF$4, 32-ROW()=Sheet1!$AG$4), 0, 999), IF(COUNTIFS(Sheet1!$AK$1:$AK$50, COLUMN()-1, Sheet1!$AL$1:$AL$50, 32-ROW())&gt;0, 999, IF(AND(COLUMN()-1=Sheet1!$AF$4, 32-ROW()=Sheet1!$AG$4), 0, MIN(I2, J2, K2, I3, K3, I4, J4, K4) + 1)))</f>
        <v>999</v>
      </c>
      <c r="K3">
        <f>IF(Sheet1!$AG$1=1, IF(AND(COLUMN()-1=Sheet1!$AF$4, 32-ROW()=Sheet1!$AG$4), 0, 999), IF(COUNTIFS(Sheet1!$AK$1:$AK$50, COLUMN()-1, Sheet1!$AL$1:$AL$50, 32-ROW())&gt;0, 999, IF(AND(COLUMN()-1=Sheet1!$AF$4, 32-ROW()=Sheet1!$AG$4), 0, MIN(J2, K2, L2, J3, L3, J4, K4, L4) + 1)))</f>
        <v>999</v>
      </c>
      <c r="L3">
        <f>IF(Sheet1!$AG$1=1, IF(AND(COLUMN()-1=Sheet1!$AF$4, 32-ROW()=Sheet1!$AG$4), 0, 999), IF(COUNTIFS(Sheet1!$AK$1:$AK$50, COLUMN()-1, Sheet1!$AL$1:$AL$50, 32-ROW())&gt;0, 999, IF(AND(COLUMN()-1=Sheet1!$AF$4, 32-ROW()=Sheet1!$AG$4), 0, MIN(K2, L2, M2, K3, M3, K4, L4, M4) + 1)))</f>
        <v>999</v>
      </c>
      <c r="M3">
        <f>IF(Sheet1!$AG$1=1, IF(AND(COLUMN()-1=Sheet1!$AF$4, 32-ROW()=Sheet1!$AG$4), 0, 999), IF(COUNTIFS(Sheet1!$AK$1:$AK$50, COLUMN()-1, Sheet1!$AL$1:$AL$50, 32-ROW())&gt;0, 999, IF(AND(COLUMN()-1=Sheet1!$AF$4, 32-ROW()=Sheet1!$AG$4), 0, MIN(L2, M2, N2, L3, N3, L4, M4, N4) + 1)))</f>
        <v>999</v>
      </c>
      <c r="N3">
        <f>IF(Sheet1!$AG$1=1, IF(AND(COLUMN()-1=Sheet1!$AF$4, 32-ROW()=Sheet1!$AG$4), 0, 999), IF(COUNTIFS(Sheet1!$AK$1:$AK$50, COLUMN()-1, Sheet1!$AL$1:$AL$50, 32-ROW())&gt;0, 999, IF(AND(COLUMN()-1=Sheet1!$AF$4, 32-ROW()=Sheet1!$AG$4), 0, MIN(M2, N2, O2, M3, O3, M4, N4, O4) + 1)))</f>
        <v>999</v>
      </c>
      <c r="O3">
        <f>IF(Sheet1!$AG$1=1, IF(AND(COLUMN()-1=Sheet1!$AF$4, 32-ROW()=Sheet1!$AG$4), 0, 999), IF(COUNTIFS(Sheet1!$AK$1:$AK$50, COLUMN()-1, Sheet1!$AL$1:$AL$50, 32-ROW())&gt;0, 999, IF(AND(COLUMN()-1=Sheet1!$AF$4, 32-ROW()=Sheet1!$AG$4), 0, MIN(N2, O2, P2, N3, P3, N4, O4, P4) + 1)))</f>
        <v>999</v>
      </c>
      <c r="P3">
        <f>IF(Sheet1!$AG$1=1, IF(AND(COLUMN()-1=Sheet1!$AF$4, 32-ROW()=Sheet1!$AG$4), 0, 999), IF(COUNTIFS(Sheet1!$AK$1:$AK$50, COLUMN()-1, Sheet1!$AL$1:$AL$50, 32-ROW())&gt;0, 999, IF(AND(COLUMN()-1=Sheet1!$AF$4, 32-ROW()=Sheet1!$AG$4), 0, MIN(O2, P2, Q2, O3, Q3, O4, P4, Q4) + 1)))</f>
        <v>999</v>
      </c>
      <c r="Q3">
        <f>IF(Sheet1!$AG$1=1, IF(AND(COLUMN()-1=Sheet1!$AF$4, 32-ROW()=Sheet1!$AG$4), 0, 999), IF(COUNTIFS(Sheet1!$AK$1:$AK$50, COLUMN()-1, Sheet1!$AL$1:$AL$50, 32-ROW())&gt;0, 999, IF(AND(COLUMN()-1=Sheet1!$AF$4, 32-ROW()=Sheet1!$AG$4), 0, MIN(P2, Q2, R2, P3, R3, P4, Q4, R4) + 1)))</f>
        <v>999</v>
      </c>
      <c r="R3">
        <f>IF(Sheet1!$AG$1=1, IF(AND(COLUMN()-1=Sheet1!$AF$4, 32-ROW()=Sheet1!$AG$4), 0, 999), IF(COUNTIFS(Sheet1!$AK$1:$AK$50, COLUMN()-1, Sheet1!$AL$1:$AL$50, 32-ROW())&gt;0, 999, IF(AND(COLUMN()-1=Sheet1!$AF$4, 32-ROW()=Sheet1!$AG$4), 0, MIN(Q2, R2, S2, Q3, S3, Q4, R4, S4) + 1)))</f>
        <v>999</v>
      </c>
      <c r="S3">
        <f>IF(Sheet1!$AG$1=1, IF(AND(COLUMN()-1=Sheet1!$AF$4, 32-ROW()=Sheet1!$AG$4), 0, 999), IF(COUNTIFS(Sheet1!$AK$1:$AK$50, COLUMN()-1, Sheet1!$AL$1:$AL$50, 32-ROW())&gt;0, 999, IF(AND(COLUMN()-1=Sheet1!$AF$4, 32-ROW()=Sheet1!$AG$4), 0, MIN(R2, S2, T2, R3, T3, R4, S4, T4) + 1)))</f>
        <v>999</v>
      </c>
      <c r="T3">
        <f>IF(Sheet1!$AG$1=1, IF(AND(COLUMN()-1=Sheet1!$AF$4, 32-ROW()=Sheet1!$AG$4), 0, 999), IF(COUNTIFS(Sheet1!$AK$1:$AK$50, COLUMN()-1, Sheet1!$AL$1:$AL$50, 32-ROW())&gt;0, 999, IF(AND(COLUMN()-1=Sheet1!$AF$4, 32-ROW()=Sheet1!$AG$4), 0, MIN(S2, T2, U2, S3, U3, S4, T4, U4) + 1)))</f>
        <v>999</v>
      </c>
      <c r="U3">
        <f>IF(Sheet1!$AG$1=1, IF(AND(COLUMN()-1=Sheet1!$AF$4, 32-ROW()=Sheet1!$AG$4), 0, 999), IF(COUNTIFS(Sheet1!$AK$1:$AK$50, COLUMN()-1, Sheet1!$AL$1:$AL$50, 32-ROW())&gt;0, 999, IF(AND(COLUMN()-1=Sheet1!$AF$4, 32-ROW()=Sheet1!$AG$4), 0, MIN(T2, U2, V2, T3, V3, T4, U4, V4) + 1)))</f>
        <v>999</v>
      </c>
      <c r="V3">
        <f>IF(Sheet1!$AG$1=1, IF(AND(COLUMN()-1=Sheet1!$AF$4, 32-ROW()=Sheet1!$AG$4), 0, 999), IF(COUNTIFS(Sheet1!$AK$1:$AK$50, COLUMN()-1, Sheet1!$AL$1:$AL$50, 32-ROW())&gt;0, 999, IF(AND(COLUMN()-1=Sheet1!$AF$4, 32-ROW()=Sheet1!$AG$4), 0, MIN(U2, V2, W2, U3, W3, U4, V4, W4) + 1)))</f>
        <v>999</v>
      </c>
      <c r="W3">
        <f>IF(Sheet1!$AG$1=1, IF(AND(COLUMN()-1=Sheet1!$AF$4, 32-ROW()=Sheet1!$AG$4), 0, 999), IF(COUNTIFS(Sheet1!$AK$1:$AK$50, COLUMN()-1, Sheet1!$AL$1:$AL$50, 32-ROW())&gt;0, 999, IF(AND(COLUMN()-1=Sheet1!$AF$4, 32-ROW()=Sheet1!$AG$4), 0, MIN(V2, W2, X2, V3, X3, V4, W4, X4) + 1)))</f>
        <v>999</v>
      </c>
      <c r="X3">
        <f>IF(Sheet1!$AG$1=1, IF(AND(COLUMN()-1=Sheet1!$AF$4, 32-ROW()=Sheet1!$AG$4), 0, 999), IF(COUNTIFS(Sheet1!$AK$1:$AK$50, COLUMN()-1, Sheet1!$AL$1:$AL$50, 32-ROW())&gt;0, 999, IF(AND(COLUMN()-1=Sheet1!$AF$4, 32-ROW()=Sheet1!$AG$4), 0, MIN(W2, X2, Y2, W3, Y3, W4, X4, Y4) + 1)))</f>
        <v>999</v>
      </c>
      <c r="Y3">
        <f>IF(Sheet1!$AG$1=1, IF(AND(COLUMN()-1=Sheet1!$AF$4, 32-ROW()=Sheet1!$AG$4), 0, 999), IF(COUNTIFS(Sheet1!$AK$1:$AK$50, COLUMN()-1, Sheet1!$AL$1:$AL$50, 32-ROW())&gt;0, 999, IF(AND(COLUMN()-1=Sheet1!$AF$4, 32-ROW()=Sheet1!$AG$4), 0, MIN(X2, Y2, Z2, X3, Z3, X4, Y4, Z4) + 1)))</f>
        <v>999</v>
      </c>
      <c r="Z3">
        <f>IF(Sheet1!$AG$1=1, IF(AND(COLUMN()-1=Sheet1!$AF$4, 32-ROW()=Sheet1!$AG$4), 0, 999), IF(COUNTIFS(Sheet1!$AK$1:$AK$50, COLUMN()-1, Sheet1!$AL$1:$AL$50, 32-ROW())&gt;0, 999, IF(AND(COLUMN()-1=Sheet1!$AF$4, 32-ROW()=Sheet1!$AG$4), 0, MIN(Y2, Z2, AA2, Y3, AA3, Y4, Z4, AA4) + 1)))</f>
        <v>999</v>
      </c>
      <c r="AA3">
        <f>IF(Sheet1!$AG$1=1, IF(AND(COLUMN()-1=Sheet1!$AF$4, 32-ROW()=Sheet1!$AG$4), 0, 999), IF(COUNTIFS(Sheet1!$AK$1:$AK$50, COLUMN()-1, Sheet1!$AL$1:$AL$50, 32-ROW())&gt;0, 999, IF(AND(COLUMN()-1=Sheet1!$AF$4, 32-ROW()=Sheet1!$AG$4), 0, MIN(Z2, AA2, AB2, Z3, AB3, Z4, AA4, AB4) + 1)))</f>
        <v>999</v>
      </c>
      <c r="AB3">
        <f>IF(Sheet1!$AG$1=1, IF(AND(COLUMN()-1=Sheet1!$AF$4, 32-ROW()=Sheet1!$AG$4), 0, 999), IF(COUNTIFS(Sheet1!$AK$1:$AK$50, COLUMN()-1, Sheet1!$AL$1:$AL$50, 32-ROW())&gt;0, 999, IF(AND(COLUMN()-1=Sheet1!$AF$4, 32-ROW()=Sheet1!$AG$4), 0, MIN(AA2, AB2, AC2, AA3, AC3, AA4, AB4, AC4) + 1)))</f>
        <v>999</v>
      </c>
      <c r="AC3">
        <f>IF(Sheet1!$AG$1=1, IF(AND(COLUMN()-1=Sheet1!$AF$4, 32-ROW()=Sheet1!$AG$4), 0, 999), IF(COUNTIFS(Sheet1!$AK$1:$AK$50, COLUMN()-1, Sheet1!$AL$1:$AL$50, 32-ROW())&gt;0, 999, IF(AND(COLUMN()-1=Sheet1!$AF$4, 32-ROW()=Sheet1!$AG$4), 0, MIN(AB2, AC2, AD2, AB3, AD3, AB4, AC4, AD4) + 1)))</f>
        <v>999</v>
      </c>
      <c r="AD3">
        <f>IF(Sheet1!$AG$1=1, IF(AND(COLUMN()-1=Sheet1!$AF$4, 32-ROW()=Sheet1!$AG$4), 0, 999), IF(COUNTIFS(Sheet1!$AK$1:$AK$50, COLUMN()-1, Sheet1!$AL$1:$AL$50, 32-ROW())&gt;0, 999, IF(AND(COLUMN()-1=Sheet1!$AF$4, 32-ROW()=Sheet1!$AG$4), 0, MIN(AC2, AD2, AE2, AC3, AE3, AC4, AD4, AE4) + 1)))</f>
        <v>999</v>
      </c>
      <c r="AE3">
        <f>IF(Sheet1!$AG$1=1, IF(AND(COLUMN()-1=Sheet1!$AF$4, 32-ROW()=Sheet1!$AG$4), 0, 999), IF(COUNTIFS(Sheet1!$AK$1:$AK$50, COLUMN()-1, Sheet1!$AL$1:$AL$50, 32-ROW())&gt;0, 999, IF(AND(COLUMN()-1=Sheet1!$AF$4, 32-ROW()=Sheet1!$AG$4), 0, MIN(AD2, AE2, AF2, AD3, AF3, AD4, AE4, AF4) + 1)))</f>
        <v>999</v>
      </c>
      <c r="AF3">
        <v>999</v>
      </c>
    </row>
    <row r="4" spans="1:32">
      <c r="A4">
        <v>999</v>
      </c>
      <c r="B4">
        <f>IF(Sheet1!$AG$1=1, IF(AND(COLUMN()-1=Sheet1!$AF$4, 32-ROW()=Sheet1!$AG$4), 0, 999), IF(COUNTIFS(Sheet1!$AK$1:$AK$50, COLUMN()-1, Sheet1!$AL$1:$AL$50, 32-ROW())&gt;0, 999, IF(AND(COLUMN()-1=Sheet1!$AF$4, 32-ROW()=Sheet1!$AG$4), 0, MIN(A3, B3, C3, A4, C4, A5, B5, C5) + 1)))</f>
        <v>999</v>
      </c>
      <c r="C4">
        <f>IF(Sheet1!$AG$1=1, IF(AND(COLUMN()-1=Sheet1!$AF$4, 32-ROW()=Sheet1!$AG$4), 0, 999), IF(COUNTIFS(Sheet1!$AK$1:$AK$50, COLUMN()-1, Sheet1!$AL$1:$AL$50, 32-ROW())&gt;0, 999, IF(AND(COLUMN()-1=Sheet1!$AF$4, 32-ROW()=Sheet1!$AG$4), 0, MIN(B3, C3, D3, B4, D4, B5, C5, D5) + 1)))</f>
        <v>999</v>
      </c>
      <c r="D4">
        <f>IF(Sheet1!$AG$1=1, IF(AND(COLUMN()-1=Sheet1!$AF$4, 32-ROW()=Sheet1!$AG$4), 0, 999), IF(COUNTIFS(Sheet1!$AK$1:$AK$50, COLUMN()-1, Sheet1!$AL$1:$AL$50, 32-ROW())&gt;0, 999, IF(AND(COLUMN()-1=Sheet1!$AF$4, 32-ROW()=Sheet1!$AG$4), 0, MIN(C3, D3, E3, C4, E4, C5, D5, E5) + 1)))</f>
        <v>999</v>
      </c>
      <c r="E4">
        <f>IF(Sheet1!$AG$1=1, IF(AND(COLUMN()-1=Sheet1!$AF$4, 32-ROW()=Sheet1!$AG$4), 0, 999), IF(COUNTIFS(Sheet1!$AK$1:$AK$50, COLUMN()-1, Sheet1!$AL$1:$AL$50, 32-ROW())&gt;0, 999, IF(AND(COLUMN()-1=Sheet1!$AF$4, 32-ROW()=Sheet1!$AG$4), 0, MIN(D3, E3, F3, D4, F4, D5, E5, F5) + 1)))</f>
        <v>999</v>
      </c>
      <c r="F4">
        <f>IF(Sheet1!$AG$1=1, IF(AND(COLUMN()-1=Sheet1!$AF$4, 32-ROW()=Sheet1!$AG$4), 0, 999), IF(COUNTIFS(Sheet1!$AK$1:$AK$50, COLUMN()-1, Sheet1!$AL$1:$AL$50, 32-ROW())&gt;0, 999, IF(AND(COLUMN()-1=Sheet1!$AF$4, 32-ROW()=Sheet1!$AG$4), 0, MIN(E3, F3, G3, E4, G4, E5, F5, G5) + 1)))</f>
        <v>999</v>
      </c>
      <c r="G4">
        <f>IF(Sheet1!$AG$1=1, IF(AND(COLUMN()-1=Sheet1!$AF$4, 32-ROW()=Sheet1!$AG$4), 0, 999), IF(COUNTIFS(Sheet1!$AK$1:$AK$50, COLUMN()-1, Sheet1!$AL$1:$AL$50, 32-ROW())&gt;0, 999, IF(AND(COLUMN()-1=Sheet1!$AF$4, 32-ROW()=Sheet1!$AG$4), 0, MIN(F3, G3, H3, F4, H4, F5, G5, H5) + 1)))</f>
        <v>999</v>
      </c>
      <c r="H4">
        <f>IF(Sheet1!$AG$1=1, IF(AND(COLUMN()-1=Sheet1!$AF$4, 32-ROW()=Sheet1!$AG$4), 0, 999), IF(COUNTIFS(Sheet1!$AK$1:$AK$50, COLUMN()-1, Sheet1!$AL$1:$AL$50, 32-ROW())&gt;0, 999, IF(AND(COLUMN()-1=Sheet1!$AF$4, 32-ROW()=Sheet1!$AG$4), 0, MIN(G3, H3, I3, G4, I4, G5, H5, I5) + 1)))</f>
        <v>999</v>
      </c>
      <c r="I4">
        <f>IF(Sheet1!$AG$1=1, IF(AND(COLUMN()-1=Sheet1!$AF$4, 32-ROW()=Sheet1!$AG$4), 0, 999), IF(COUNTIFS(Sheet1!$AK$1:$AK$50, COLUMN()-1, Sheet1!$AL$1:$AL$50, 32-ROW())&gt;0, 999, IF(AND(COLUMN()-1=Sheet1!$AF$4, 32-ROW()=Sheet1!$AG$4), 0, MIN(H3, I3, J3, H4, J4, H5, I5, J5) + 1)))</f>
        <v>999</v>
      </c>
      <c r="J4">
        <f>IF(Sheet1!$AG$1=1, IF(AND(COLUMN()-1=Sheet1!$AF$4, 32-ROW()=Sheet1!$AG$4), 0, 999), IF(COUNTIFS(Sheet1!$AK$1:$AK$50, COLUMN()-1, Sheet1!$AL$1:$AL$50, 32-ROW())&gt;0, 999, IF(AND(COLUMN()-1=Sheet1!$AF$4, 32-ROW()=Sheet1!$AG$4), 0, MIN(I3, J3, K3, I4, K4, I5, J5, K5) + 1)))</f>
        <v>999</v>
      </c>
      <c r="K4">
        <f>IF(Sheet1!$AG$1=1, IF(AND(COLUMN()-1=Sheet1!$AF$4, 32-ROW()=Sheet1!$AG$4), 0, 999), IF(COUNTIFS(Sheet1!$AK$1:$AK$50, COLUMN()-1, Sheet1!$AL$1:$AL$50, 32-ROW())&gt;0, 999, IF(AND(COLUMN()-1=Sheet1!$AF$4, 32-ROW()=Sheet1!$AG$4), 0, MIN(J3, K3, L3, J4, L4, J5, K5, L5) + 1)))</f>
        <v>999</v>
      </c>
      <c r="L4">
        <f>IF(Sheet1!$AG$1=1, IF(AND(COLUMN()-1=Sheet1!$AF$4, 32-ROW()=Sheet1!$AG$4), 0, 999), IF(COUNTIFS(Sheet1!$AK$1:$AK$50, COLUMN()-1, Sheet1!$AL$1:$AL$50, 32-ROW())&gt;0, 999, IF(AND(COLUMN()-1=Sheet1!$AF$4, 32-ROW()=Sheet1!$AG$4), 0, MIN(K3, L3, M3, K4, M4, K5, L5, M5) + 1)))</f>
        <v>999</v>
      </c>
      <c r="M4">
        <f>IF(Sheet1!$AG$1=1, IF(AND(COLUMN()-1=Sheet1!$AF$4, 32-ROW()=Sheet1!$AG$4), 0, 999), IF(COUNTIFS(Sheet1!$AK$1:$AK$50, COLUMN()-1, Sheet1!$AL$1:$AL$50, 32-ROW())&gt;0, 999, IF(AND(COLUMN()-1=Sheet1!$AF$4, 32-ROW()=Sheet1!$AG$4), 0, MIN(L3, M3, N3, L4, N4, L5, M5, N5) + 1)))</f>
        <v>999</v>
      </c>
      <c r="N4">
        <f>IF(Sheet1!$AG$1=1, IF(AND(COLUMN()-1=Sheet1!$AF$4, 32-ROW()=Sheet1!$AG$4), 0, 999), IF(COUNTIFS(Sheet1!$AK$1:$AK$50, COLUMN()-1, Sheet1!$AL$1:$AL$50, 32-ROW())&gt;0, 999, IF(AND(COLUMN()-1=Sheet1!$AF$4, 32-ROW()=Sheet1!$AG$4), 0, MIN(M3, N3, O3, M4, O4, M5, N5, O5) + 1)))</f>
        <v>999</v>
      </c>
      <c r="O4">
        <f>IF(Sheet1!$AG$1=1, IF(AND(COLUMN()-1=Sheet1!$AF$4, 32-ROW()=Sheet1!$AG$4), 0, 999), IF(COUNTIFS(Sheet1!$AK$1:$AK$50, COLUMN()-1, Sheet1!$AL$1:$AL$50, 32-ROW())&gt;0, 999, IF(AND(COLUMN()-1=Sheet1!$AF$4, 32-ROW()=Sheet1!$AG$4), 0, MIN(N3, O3, P3, N4, P4, N5, O5, P5) + 1)))</f>
        <v>999</v>
      </c>
      <c r="P4">
        <f>IF(Sheet1!$AG$1=1, IF(AND(COLUMN()-1=Sheet1!$AF$4, 32-ROW()=Sheet1!$AG$4), 0, 999), IF(COUNTIFS(Sheet1!$AK$1:$AK$50, COLUMN()-1, Sheet1!$AL$1:$AL$50, 32-ROW())&gt;0, 999, IF(AND(COLUMN()-1=Sheet1!$AF$4, 32-ROW()=Sheet1!$AG$4), 0, MIN(O3, P3, Q3, O4, Q4, O5, P5, Q5) + 1)))</f>
        <v>999</v>
      </c>
      <c r="Q4">
        <f>IF(Sheet1!$AG$1=1, IF(AND(COLUMN()-1=Sheet1!$AF$4, 32-ROW()=Sheet1!$AG$4), 0, 999), IF(COUNTIFS(Sheet1!$AK$1:$AK$50, COLUMN()-1, Sheet1!$AL$1:$AL$50, 32-ROW())&gt;0, 999, IF(AND(COLUMN()-1=Sheet1!$AF$4, 32-ROW()=Sheet1!$AG$4), 0, MIN(P3, Q3, R3, P4, R4, P5, Q5, R5) + 1)))</f>
        <v>999</v>
      </c>
      <c r="R4">
        <f>IF(Sheet1!$AG$1=1, IF(AND(COLUMN()-1=Sheet1!$AF$4, 32-ROW()=Sheet1!$AG$4), 0, 999), IF(COUNTIFS(Sheet1!$AK$1:$AK$50, COLUMN()-1, Sheet1!$AL$1:$AL$50, 32-ROW())&gt;0, 999, IF(AND(COLUMN()-1=Sheet1!$AF$4, 32-ROW()=Sheet1!$AG$4), 0, MIN(Q3, R3, S3, Q4, S4, Q5, R5, S5) + 1)))</f>
        <v>999</v>
      </c>
      <c r="S4">
        <f>IF(Sheet1!$AG$1=1, IF(AND(COLUMN()-1=Sheet1!$AF$4, 32-ROW()=Sheet1!$AG$4), 0, 999), IF(COUNTIFS(Sheet1!$AK$1:$AK$50, COLUMN()-1, Sheet1!$AL$1:$AL$50, 32-ROW())&gt;0, 999, IF(AND(COLUMN()-1=Sheet1!$AF$4, 32-ROW()=Sheet1!$AG$4), 0, MIN(R3, S3, T3, R4, T4, R5, S5, T5) + 1)))</f>
        <v>999</v>
      </c>
      <c r="T4">
        <f>IF(Sheet1!$AG$1=1, IF(AND(COLUMN()-1=Sheet1!$AF$4, 32-ROW()=Sheet1!$AG$4), 0, 999), IF(COUNTIFS(Sheet1!$AK$1:$AK$50, COLUMN()-1, Sheet1!$AL$1:$AL$50, 32-ROW())&gt;0, 999, IF(AND(COLUMN()-1=Sheet1!$AF$4, 32-ROW()=Sheet1!$AG$4), 0, MIN(S3, T3, U3, S4, U4, S5, T5, U5) + 1)))</f>
        <v>999</v>
      </c>
      <c r="U4">
        <f>IF(Sheet1!$AG$1=1, IF(AND(COLUMN()-1=Sheet1!$AF$4, 32-ROW()=Sheet1!$AG$4), 0, 999), IF(COUNTIFS(Sheet1!$AK$1:$AK$50, COLUMN()-1, Sheet1!$AL$1:$AL$50, 32-ROW())&gt;0, 999, IF(AND(COLUMN()-1=Sheet1!$AF$4, 32-ROW()=Sheet1!$AG$4), 0, MIN(T3, U3, V3, T4, V4, T5, U5, V5) + 1)))</f>
        <v>999</v>
      </c>
      <c r="V4">
        <f>IF(Sheet1!$AG$1=1, IF(AND(COLUMN()-1=Sheet1!$AF$4, 32-ROW()=Sheet1!$AG$4), 0, 999), IF(COUNTIFS(Sheet1!$AK$1:$AK$50, COLUMN()-1, Sheet1!$AL$1:$AL$50, 32-ROW())&gt;0, 999, IF(AND(COLUMN()-1=Sheet1!$AF$4, 32-ROW()=Sheet1!$AG$4), 0, MIN(U3, V3, W3, U4, W4, U5, V5, W5) + 1)))</f>
        <v>999</v>
      </c>
      <c r="W4">
        <f>IF(Sheet1!$AG$1=1, IF(AND(COLUMN()-1=Sheet1!$AF$4, 32-ROW()=Sheet1!$AG$4), 0, 999), IF(COUNTIFS(Sheet1!$AK$1:$AK$50, COLUMN()-1, Sheet1!$AL$1:$AL$50, 32-ROW())&gt;0, 999, IF(AND(COLUMN()-1=Sheet1!$AF$4, 32-ROW()=Sheet1!$AG$4), 0, MIN(V3, W3, X3, V4, X4, V5, W5, X5) + 1)))</f>
        <v>999</v>
      </c>
      <c r="X4">
        <f>IF(Sheet1!$AG$1=1, IF(AND(COLUMN()-1=Sheet1!$AF$4, 32-ROW()=Sheet1!$AG$4), 0, 999), IF(COUNTIFS(Sheet1!$AK$1:$AK$50, COLUMN()-1, Sheet1!$AL$1:$AL$50, 32-ROW())&gt;0, 999, IF(AND(COLUMN()-1=Sheet1!$AF$4, 32-ROW()=Sheet1!$AG$4), 0, MIN(W3, X3, Y3, W4, Y4, W5, X5, Y5) + 1)))</f>
        <v>999</v>
      </c>
      <c r="Y4">
        <f>IF(Sheet1!$AG$1=1, IF(AND(COLUMN()-1=Sheet1!$AF$4, 32-ROW()=Sheet1!$AG$4), 0, 999), IF(COUNTIFS(Sheet1!$AK$1:$AK$50, COLUMN()-1, Sheet1!$AL$1:$AL$50, 32-ROW())&gt;0, 999, IF(AND(COLUMN()-1=Sheet1!$AF$4, 32-ROW()=Sheet1!$AG$4), 0, MIN(X3, Y3, Z3, X4, Z4, X5, Y5, Z5) + 1)))</f>
        <v>999</v>
      </c>
      <c r="Z4">
        <f>IF(Sheet1!$AG$1=1, IF(AND(COLUMN()-1=Sheet1!$AF$4, 32-ROW()=Sheet1!$AG$4), 0, 999), IF(COUNTIFS(Sheet1!$AK$1:$AK$50, COLUMN()-1, Sheet1!$AL$1:$AL$50, 32-ROW())&gt;0, 999, IF(AND(COLUMN()-1=Sheet1!$AF$4, 32-ROW()=Sheet1!$AG$4), 0, MIN(Y3, Z3, AA3, Y4, AA4, Y5, Z5, AA5) + 1)))</f>
        <v>999</v>
      </c>
      <c r="AA4">
        <f>IF(Sheet1!$AG$1=1, IF(AND(COLUMN()-1=Sheet1!$AF$4, 32-ROW()=Sheet1!$AG$4), 0, 999), IF(COUNTIFS(Sheet1!$AK$1:$AK$50, COLUMN()-1, Sheet1!$AL$1:$AL$50, 32-ROW())&gt;0, 999, IF(AND(COLUMN()-1=Sheet1!$AF$4, 32-ROW()=Sheet1!$AG$4), 0, MIN(Z3, AA3, AB3, Z4, AB4, Z5, AA5, AB5) + 1)))</f>
        <v>999</v>
      </c>
      <c r="AB4">
        <f>IF(Sheet1!$AG$1=1, IF(AND(COLUMN()-1=Sheet1!$AF$4, 32-ROW()=Sheet1!$AG$4), 0, 999), IF(COUNTIFS(Sheet1!$AK$1:$AK$50, COLUMN()-1, Sheet1!$AL$1:$AL$50, 32-ROW())&gt;0, 999, IF(AND(COLUMN()-1=Sheet1!$AF$4, 32-ROW()=Sheet1!$AG$4), 0, MIN(AA3, AB3, AC3, AA4, AC4, AA5, AB5, AC5) + 1)))</f>
        <v>999</v>
      </c>
      <c r="AC4">
        <f>IF(Sheet1!$AG$1=1, IF(AND(COLUMN()-1=Sheet1!$AF$4, 32-ROW()=Sheet1!$AG$4), 0, 999), IF(COUNTIFS(Sheet1!$AK$1:$AK$50, COLUMN()-1, Sheet1!$AL$1:$AL$50, 32-ROW())&gt;0, 999, IF(AND(COLUMN()-1=Sheet1!$AF$4, 32-ROW()=Sheet1!$AG$4), 0, MIN(AB3, AC3, AD3, AB4, AD4, AB5, AC5, AD5) + 1)))</f>
        <v>999</v>
      </c>
      <c r="AD4">
        <f>IF(Sheet1!$AG$1=1, IF(AND(COLUMN()-1=Sheet1!$AF$4, 32-ROW()=Sheet1!$AG$4), 0, 999), IF(COUNTIFS(Sheet1!$AK$1:$AK$50, COLUMN()-1, Sheet1!$AL$1:$AL$50, 32-ROW())&gt;0, 999, IF(AND(COLUMN()-1=Sheet1!$AF$4, 32-ROW()=Sheet1!$AG$4), 0, MIN(AC3, AD3, AE3, AC4, AE4, AC5, AD5, AE5) + 1)))</f>
        <v>999</v>
      </c>
      <c r="AE4">
        <f>IF(Sheet1!$AG$1=1, IF(AND(COLUMN()-1=Sheet1!$AF$4, 32-ROW()=Sheet1!$AG$4), 0, 999), IF(COUNTIFS(Sheet1!$AK$1:$AK$50, COLUMN()-1, Sheet1!$AL$1:$AL$50, 32-ROW())&gt;0, 999, IF(AND(COLUMN()-1=Sheet1!$AF$4, 32-ROW()=Sheet1!$AG$4), 0, MIN(AD3, AE3, AF3, AD4, AF4, AD5, AE5, AF5) + 1)))</f>
        <v>999</v>
      </c>
      <c r="AF4">
        <v>999</v>
      </c>
    </row>
    <row r="5" spans="1:32">
      <c r="A5">
        <v>999</v>
      </c>
      <c r="B5">
        <f>IF(Sheet1!$AG$1=1, IF(AND(COLUMN()-1=Sheet1!$AF$4, 32-ROW()=Sheet1!$AG$4), 0, 999), IF(COUNTIFS(Sheet1!$AK$1:$AK$50, COLUMN()-1, Sheet1!$AL$1:$AL$50, 32-ROW())&gt;0, 999, IF(AND(COLUMN()-1=Sheet1!$AF$4, 32-ROW()=Sheet1!$AG$4), 0, MIN(A4, B4, C4, A5, C5, A6, B6, C6) + 1)))</f>
        <v>999</v>
      </c>
      <c r="C5">
        <f>IF(Sheet1!$AG$1=1, IF(AND(COLUMN()-1=Sheet1!$AF$4, 32-ROW()=Sheet1!$AG$4), 0, 999), IF(COUNTIFS(Sheet1!$AK$1:$AK$50, COLUMN()-1, Sheet1!$AL$1:$AL$50, 32-ROW())&gt;0, 999, IF(AND(COLUMN()-1=Sheet1!$AF$4, 32-ROW()=Sheet1!$AG$4), 0, MIN(B4, C4, D4, B5, D5, B6, C6, D6) + 1)))</f>
        <v>999</v>
      </c>
      <c r="D5">
        <f>IF(Sheet1!$AG$1=1, IF(AND(COLUMN()-1=Sheet1!$AF$4, 32-ROW()=Sheet1!$AG$4), 0, 999), IF(COUNTIFS(Sheet1!$AK$1:$AK$50, COLUMN()-1, Sheet1!$AL$1:$AL$50, 32-ROW())&gt;0, 999, IF(AND(COLUMN()-1=Sheet1!$AF$4, 32-ROW()=Sheet1!$AG$4), 0, MIN(C4, D4, E4, C5, E5, C6, D6, E6) + 1)))</f>
        <v>999</v>
      </c>
      <c r="E5">
        <f>IF(Sheet1!$AG$1=1, IF(AND(COLUMN()-1=Sheet1!$AF$4, 32-ROW()=Sheet1!$AG$4), 0, 999), IF(COUNTIFS(Sheet1!$AK$1:$AK$50, COLUMN()-1, Sheet1!$AL$1:$AL$50, 32-ROW())&gt;0, 999, IF(AND(COLUMN()-1=Sheet1!$AF$4, 32-ROW()=Sheet1!$AG$4), 0, MIN(D4, E4, F4, D5, F5, D6, E6, F6) + 1)))</f>
        <v>999</v>
      </c>
      <c r="F5">
        <f>IF(Sheet1!$AG$1=1, IF(AND(COLUMN()-1=Sheet1!$AF$4, 32-ROW()=Sheet1!$AG$4), 0, 999), IF(COUNTIFS(Sheet1!$AK$1:$AK$50, COLUMN()-1, Sheet1!$AL$1:$AL$50, 32-ROW())&gt;0, 999, IF(AND(COLUMN()-1=Sheet1!$AF$4, 32-ROW()=Sheet1!$AG$4), 0, MIN(E4, F4, G4, E5, G5, E6, F6, G6) + 1)))</f>
        <v>999</v>
      </c>
      <c r="G5">
        <f>IF(Sheet1!$AG$1=1, IF(AND(COLUMN()-1=Sheet1!$AF$4, 32-ROW()=Sheet1!$AG$4), 0, 999), IF(COUNTIFS(Sheet1!$AK$1:$AK$50, COLUMN()-1, Sheet1!$AL$1:$AL$50, 32-ROW())&gt;0, 999, IF(AND(COLUMN()-1=Sheet1!$AF$4, 32-ROW()=Sheet1!$AG$4), 0, MIN(F4, G4, H4, F5, H5, F6, G6, H6) + 1)))</f>
        <v>999</v>
      </c>
      <c r="H5">
        <f>IF(Sheet1!$AG$1=1, IF(AND(COLUMN()-1=Sheet1!$AF$4, 32-ROW()=Sheet1!$AG$4), 0, 999), IF(COUNTIFS(Sheet1!$AK$1:$AK$50, COLUMN()-1, Sheet1!$AL$1:$AL$50, 32-ROW())&gt;0, 999, IF(AND(COLUMN()-1=Sheet1!$AF$4, 32-ROW()=Sheet1!$AG$4), 0, MIN(G4, H4, I4, G5, I5, G6, H6, I6) + 1)))</f>
        <v>999</v>
      </c>
      <c r="I5">
        <f>IF(Sheet1!$AG$1=1, IF(AND(COLUMN()-1=Sheet1!$AF$4, 32-ROW()=Sheet1!$AG$4), 0, 999), IF(COUNTIFS(Sheet1!$AK$1:$AK$50, COLUMN()-1, Sheet1!$AL$1:$AL$50, 32-ROW())&gt;0, 999, IF(AND(COLUMN()-1=Sheet1!$AF$4, 32-ROW()=Sheet1!$AG$4), 0, MIN(H4, I4, J4, H5, J5, H6, I6, J6) + 1)))</f>
        <v>999</v>
      </c>
      <c r="J5">
        <f>IF(Sheet1!$AG$1=1, IF(AND(COLUMN()-1=Sheet1!$AF$4, 32-ROW()=Sheet1!$AG$4), 0, 999), IF(COUNTIFS(Sheet1!$AK$1:$AK$50, COLUMN()-1, Sheet1!$AL$1:$AL$50, 32-ROW())&gt;0, 999, IF(AND(COLUMN()-1=Sheet1!$AF$4, 32-ROW()=Sheet1!$AG$4), 0, MIN(I4, J4, K4, I5, K5, I6, J6, K6) + 1)))</f>
        <v>999</v>
      </c>
      <c r="K5">
        <f>IF(Sheet1!$AG$1=1, IF(AND(COLUMN()-1=Sheet1!$AF$4, 32-ROW()=Sheet1!$AG$4), 0, 999), IF(COUNTIFS(Sheet1!$AK$1:$AK$50, COLUMN()-1, Sheet1!$AL$1:$AL$50, 32-ROW())&gt;0, 999, IF(AND(COLUMN()-1=Sheet1!$AF$4, 32-ROW()=Sheet1!$AG$4), 0, MIN(J4, K4, L4, J5, L5, J6, K6, L6) + 1)))</f>
        <v>999</v>
      </c>
      <c r="L5">
        <f>IF(Sheet1!$AG$1=1, IF(AND(COLUMN()-1=Sheet1!$AF$4, 32-ROW()=Sheet1!$AG$4), 0, 999), IF(COUNTIFS(Sheet1!$AK$1:$AK$50, COLUMN()-1, Sheet1!$AL$1:$AL$50, 32-ROW())&gt;0, 999, IF(AND(COLUMN()-1=Sheet1!$AF$4, 32-ROW()=Sheet1!$AG$4), 0, MIN(K4, L4, M4, K5, M5, K6, L6, M6) + 1)))</f>
        <v>999</v>
      </c>
      <c r="M5">
        <f>IF(Sheet1!$AG$1=1, IF(AND(COLUMN()-1=Sheet1!$AF$4, 32-ROW()=Sheet1!$AG$4), 0, 999), IF(COUNTIFS(Sheet1!$AK$1:$AK$50, COLUMN()-1, Sheet1!$AL$1:$AL$50, 32-ROW())&gt;0, 999, IF(AND(COLUMN()-1=Sheet1!$AF$4, 32-ROW()=Sheet1!$AG$4), 0, MIN(L4, M4, N4, L5, N5, L6, M6, N6) + 1)))</f>
        <v>999</v>
      </c>
      <c r="N5">
        <f>IF(Sheet1!$AG$1=1, IF(AND(COLUMN()-1=Sheet1!$AF$4, 32-ROW()=Sheet1!$AG$4), 0, 999), IF(COUNTIFS(Sheet1!$AK$1:$AK$50, COLUMN()-1, Sheet1!$AL$1:$AL$50, 32-ROW())&gt;0, 999, IF(AND(COLUMN()-1=Sheet1!$AF$4, 32-ROW()=Sheet1!$AG$4), 0, MIN(M4, N4, O4, M5, O5, M6, N6, O6) + 1)))</f>
        <v>999</v>
      </c>
      <c r="O5">
        <f>IF(Sheet1!$AG$1=1, IF(AND(COLUMN()-1=Sheet1!$AF$4, 32-ROW()=Sheet1!$AG$4), 0, 999), IF(COUNTIFS(Sheet1!$AK$1:$AK$50, COLUMN()-1, Sheet1!$AL$1:$AL$50, 32-ROW())&gt;0, 999, IF(AND(COLUMN()-1=Sheet1!$AF$4, 32-ROW()=Sheet1!$AG$4), 0, MIN(N4, O4, P4, N5, P5, N6, O6, P6) + 1)))</f>
        <v>999</v>
      </c>
      <c r="P5">
        <f>IF(Sheet1!$AG$1=1, IF(AND(COLUMN()-1=Sheet1!$AF$4, 32-ROW()=Sheet1!$AG$4), 0, 999), IF(COUNTIFS(Sheet1!$AK$1:$AK$50, COLUMN()-1, Sheet1!$AL$1:$AL$50, 32-ROW())&gt;0, 999, IF(AND(COLUMN()-1=Sheet1!$AF$4, 32-ROW()=Sheet1!$AG$4), 0, MIN(O4, P4, Q4, O5, Q5, O6, P6, Q6) + 1)))</f>
        <v>999</v>
      </c>
      <c r="Q5">
        <f>IF(Sheet1!$AG$1=1, IF(AND(COLUMN()-1=Sheet1!$AF$4, 32-ROW()=Sheet1!$AG$4), 0, 999), IF(COUNTIFS(Sheet1!$AK$1:$AK$50, COLUMN()-1, Sheet1!$AL$1:$AL$50, 32-ROW())&gt;0, 999, IF(AND(COLUMN()-1=Sheet1!$AF$4, 32-ROW()=Sheet1!$AG$4), 0, MIN(P4, Q4, R4, P5, R5, P6, Q6, R6) + 1)))</f>
        <v>999</v>
      </c>
      <c r="R5">
        <f>IF(Sheet1!$AG$1=1, IF(AND(COLUMN()-1=Sheet1!$AF$4, 32-ROW()=Sheet1!$AG$4), 0, 999), IF(COUNTIFS(Sheet1!$AK$1:$AK$50, COLUMN()-1, Sheet1!$AL$1:$AL$50, 32-ROW())&gt;0, 999, IF(AND(COLUMN()-1=Sheet1!$AF$4, 32-ROW()=Sheet1!$AG$4), 0, MIN(Q4, R4, S4, Q5, S5, Q6, R6, S6) + 1)))</f>
        <v>999</v>
      </c>
      <c r="S5">
        <f>IF(Sheet1!$AG$1=1, IF(AND(COLUMN()-1=Sheet1!$AF$4, 32-ROW()=Sheet1!$AG$4), 0, 999), IF(COUNTIFS(Sheet1!$AK$1:$AK$50, COLUMN()-1, Sheet1!$AL$1:$AL$50, 32-ROW())&gt;0, 999, IF(AND(COLUMN()-1=Sheet1!$AF$4, 32-ROW()=Sheet1!$AG$4), 0, MIN(R4, S4, T4, R5, T5, R6, S6, T6) + 1)))</f>
        <v>999</v>
      </c>
      <c r="T5">
        <f>IF(Sheet1!$AG$1=1, IF(AND(COLUMN()-1=Sheet1!$AF$4, 32-ROW()=Sheet1!$AG$4), 0, 999), IF(COUNTIFS(Sheet1!$AK$1:$AK$50, COLUMN()-1, Sheet1!$AL$1:$AL$50, 32-ROW())&gt;0, 999, IF(AND(COLUMN()-1=Sheet1!$AF$4, 32-ROW()=Sheet1!$AG$4), 0, MIN(S4, T4, U4, S5, U5, S6, T6, U6) + 1)))</f>
        <v>999</v>
      </c>
      <c r="U5">
        <f>IF(Sheet1!$AG$1=1, IF(AND(COLUMN()-1=Sheet1!$AF$4, 32-ROW()=Sheet1!$AG$4), 0, 999), IF(COUNTIFS(Sheet1!$AK$1:$AK$50, COLUMN()-1, Sheet1!$AL$1:$AL$50, 32-ROW())&gt;0, 999, IF(AND(COLUMN()-1=Sheet1!$AF$4, 32-ROW()=Sheet1!$AG$4), 0, MIN(T4, U4, V4, T5, V5, T6, U6, V6) + 1)))</f>
        <v>999</v>
      </c>
      <c r="V5">
        <f>IF(Sheet1!$AG$1=1, IF(AND(COLUMN()-1=Sheet1!$AF$4, 32-ROW()=Sheet1!$AG$4), 0, 999), IF(COUNTIFS(Sheet1!$AK$1:$AK$50, COLUMN()-1, Sheet1!$AL$1:$AL$50, 32-ROW())&gt;0, 999, IF(AND(COLUMN()-1=Sheet1!$AF$4, 32-ROW()=Sheet1!$AG$4), 0, MIN(U4, V4, W4, U5, W5, U6, V6, W6) + 1)))</f>
        <v>999</v>
      </c>
      <c r="W5">
        <f>IF(Sheet1!$AG$1=1, IF(AND(COLUMN()-1=Sheet1!$AF$4, 32-ROW()=Sheet1!$AG$4), 0, 999), IF(COUNTIFS(Sheet1!$AK$1:$AK$50, COLUMN()-1, Sheet1!$AL$1:$AL$50, 32-ROW())&gt;0, 999, IF(AND(COLUMN()-1=Sheet1!$AF$4, 32-ROW()=Sheet1!$AG$4), 0, MIN(V4, W4, X4, V5, X5, V6, W6, X6) + 1)))</f>
        <v>999</v>
      </c>
      <c r="X5">
        <f>IF(Sheet1!$AG$1=1, IF(AND(COLUMN()-1=Sheet1!$AF$4, 32-ROW()=Sheet1!$AG$4), 0, 999), IF(COUNTIFS(Sheet1!$AK$1:$AK$50, COLUMN()-1, Sheet1!$AL$1:$AL$50, 32-ROW())&gt;0, 999, IF(AND(COLUMN()-1=Sheet1!$AF$4, 32-ROW()=Sheet1!$AG$4), 0, MIN(W4, X4, Y4, W5, Y5, W6, X6, Y6) + 1)))</f>
        <v>999</v>
      </c>
      <c r="Y5">
        <f>IF(Sheet1!$AG$1=1, IF(AND(COLUMN()-1=Sheet1!$AF$4, 32-ROW()=Sheet1!$AG$4), 0, 999), IF(COUNTIFS(Sheet1!$AK$1:$AK$50, COLUMN()-1, Sheet1!$AL$1:$AL$50, 32-ROW())&gt;0, 999, IF(AND(COLUMN()-1=Sheet1!$AF$4, 32-ROW()=Sheet1!$AG$4), 0, MIN(X4, Y4, Z4, X5, Z5, X6, Y6, Z6) + 1)))</f>
        <v>999</v>
      </c>
      <c r="Z5">
        <f>IF(Sheet1!$AG$1=1, IF(AND(COLUMN()-1=Sheet1!$AF$4, 32-ROW()=Sheet1!$AG$4), 0, 999), IF(COUNTIFS(Sheet1!$AK$1:$AK$50, COLUMN()-1, Sheet1!$AL$1:$AL$50, 32-ROW())&gt;0, 999, IF(AND(COLUMN()-1=Sheet1!$AF$4, 32-ROW()=Sheet1!$AG$4), 0, MIN(Y4, Z4, AA4, Y5, AA5, Y6, Z6, AA6) + 1)))</f>
        <v>999</v>
      </c>
      <c r="AA5">
        <f>IF(Sheet1!$AG$1=1, IF(AND(COLUMN()-1=Sheet1!$AF$4, 32-ROW()=Sheet1!$AG$4), 0, 999), IF(COUNTIFS(Sheet1!$AK$1:$AK$50, COLUMN()-1, Sheet1!$AL$1:$AL$50, 32-ROW())&gt;0, 999, IF(AND(COLUMN()-1=Sheet1!$AF$4, 32-ROW()=Sheet1!$AG$4), 0, MIN(Z4, AA4, AB4, Z5, AB5, Z6, AA6, AB6) + 1)))</f>
        <v>999</v>
      </c>
      <c r="AB5">
        <f>IF(Sheet1!$AG$1=1, IF(AND(COLUMN()-1=Sheet1!$AF$4, 32-ROW()=Sheet1!$AG$4), 0, 999), IF(COUNTIFS(Sheet1!$AK$1:$AK$50, COLUMN()-1, Sheet1!$AL$1:$AL$50, 32-ROW())&gt;0, 999, IF(AND(COLUMN()-1=Sheet1!$AF$4, 32-ROW()=Sheet1!$AG$4), 0, MIN(AA4, AB4, AC4, AA5, AC5, AA6, AB6, AC6) + 1)))</f>
        <v>999</v>
      </c>
      <c r="AC5">
        <f>IF(Sheet1!$AG$1=1, IF(AND(COLUMN()-1=Sheet1!$AF$4, 32-ROW()=Sheet1!$AG$4), 0, 999), IF(COUNTIFS(Sheet1!$AK$1:$AK$50, COLUMN()-1, Sheet1!$AL$1:$AL$50, 32-ROW())&gt;0, 999, IF(AND(COLUMN()-1=Sheet1!$AF$4, 32-ROW()=Sheet1!$AG$4), 0, MIN(AB4, AC4, AD4, AB5, AD5, AB6, AC6, AD6) + 1)))</f>
        <v>999</v>
      </c>
      <c r="AD5">
        <f>IF(Sheet1!$AG$1=1, IF(AND(COLUMN()-1=Sheet1!$AF$4, 32-ROW()=Sheet1!$AG$4), 0, 999), IF(COUNTIFS(Sheet1!$AK$1:$AK$50, COLUMN()-1, Sheet1!$AL$1:$AL$50, 32-ROW())&gt;0, 999, IF(AND(COLUMN()-1=Sheet1!$AF$4, 32-ROW()=Sheet1!$AG$4), 0, MIN(AC4, AD4, AE4, AC5, AE5, AC6, AD6, AE6) + 1)))</f>
        <v>999</v>
      </c>
      <c r="AE5">
        <f>IF(Sheet1!$AG$1=1, IF(AND(COLUMN()-1=Sheet1!$AF$4, 32-ROW()=Sheet1!$AG$4), 0, 999), IF(COUNTIFS(Sheet1!$AK$1:$AK$50, COLUMN()-1, Sheet1!$AL$1:$AL$50, 32-ROW())&gt;0, 999, IF(AND(COLUMN()-1=Sheet1!$AF$4, 32-ROW()=Sheet1!$AG$4), 0, MIN(AD4, AE4, AF4, AD5, AF5, AD6, AE6, AF6) + 1)))</f>
        <v>999</v>
      </c>
      <c r="AF5">
        <v>999</v>
      </c>
    </row>
    <row r="6" spans="1:32">
      <c r="A6">
        <v>999</v>
      </c>
      <c r="B6">
        <f>IF(Sheet1!$AG$1=1, IF(AND(COLUMN()-1=Sheet1!$AF$4, 32-ROW()=Sheet1!$AG$4), 0, 999), IF(COUNTIFS(Sheet1!$AK$1:$AK$50, COLUMN()-1, Sheet1!$AL$1:$AL$50, 32-ROW())&gt;0, 999, IF(AND(COLUMN()-1=Sheet1!$AF$4, 32-ROW()=Sheet1!$AG$4), 0, MIN(A5, B5, C5, A6, C6, A7, B7, C7) + 1)))</f>
        <v>999</v>
      </c>
      <c r="C6">
        <f>IF(Sheet1!$AG$1=1, IF(AND(COLUMN()-1=Sheet1!$AF$4, 32-ROW()=Sheet1!$AG$4), 0, 999), IF(COUNTIFS(Sheet1!$AK$1:$AK$50, COLUMN()-1, Sheet1!$AL$1:$AL$50, 32-ROW())&gt;0, 999, IF(AND(COLUMN()-1=Sheet1!$AF$4, 32-ROW()=Sheet1!$AG$4), 0, MIN(B5, C5, D5, B6, D6, B7, C7, D7) + 1)))</f>
        <v>999</v>
      </c>
      <c r="D6">
        <f>IF(Sheet1!$AG$1=1, IF(AND(COLUMN()-1=Sheet1!$AF$4, 32-ROW()=Sheet1!$AG$4), 0, 999), IF(COUNTIFS(Sheet1!$AK$1:$AK$50, COLUMN()-1, Sheet1!$AL$1:$AL$50, 32-ROW())&gt;0, 999, IF(AND(COLUMN()-1=Sheet1!$AF$4, 32-ROW()=Sheet1!$AG$4), 0, MIN(C5, D5, E5, C6, E6, C7, D7, E7) + 1)))</f>
        <v>999</v>
      </c>
      <c r="E6">
        <f>IF(Sheet1!$AG$1=1, IF(AND(COLUMN()-1=Sheet1!$AF$4, 32-ROW()=Sheet1!$AG$4), 0, 999), IF(COUNTIFS(Sheet1!$AK$1:$AK$50, COLUMN()-1, Sheet1!$AL$1:$AL$50, 32-ROW())&gt;0, 999, IF(AND(COLUMN()-1=Sheet1!$AF$4, 32-ROW()=Sheet1!$AG$4), 0, MIN(D5, E5, F5, D6, F6, D7, E7, F7) + 1)))</f>
        <v>999</v>
      </c>
      <c r="F6">
        <f>IF(Sheet1!$AG$1=1, IF(AND(COLUMN()-1=Sheet1!$AF$4, 32-ROW()=Sheet1!$AG$4), 0, 999), IF(COUNTIFS(Sheet1!$AK$1:$AK$50, COLUMN()-1, Sheet1!$AL$1:$AL$50, 32-ROW())&gt;0, 999, IF(AND(COLUMN()-1=Sheet1!$AF$4, 32-ROW()=Sheet1!$AG$4), 0, MIN(E5, F5, G5, E6, G6, E7, F7, G7) + 1)))</f>
        <v>999</v>
      </c>
      <c r="G6">
        <f>IF(Sheet1!$AG$1=1, IF(AND(COLUMN()-1=Sheet1!$AF$4, 32-ROW()=Sheet1!$AG$4), 0, 999), IF(COUNTIFS(Sheet1!$AK$1:$AK$50, COLUMN()-1, Sheet1!$AL$1:$AL$50, 32-ROW())&gt;0, 999, IF(AND(COLUMN()-1=Sheet1!$AF$4, 32-ROW()=Sheet1!$AG$4), 0, MIN(F5, G5, H5, F6, H6, F7, G7, H7) + 1)))</f>
        <v>999</v>
      </c>
      <c r="H6">
        <f>IF(Sheet1!$AG$1=1, IF(AND(COLUMN()-1=Sheet1!$AF$4, 32-ROW()=Sheet1!$AG$4), 0, 999), IF(COUNTIFS(Sheet1!$AK$1:$AK$50, COLUMN()-1, Sheet1!$AL$1:$AL$50, 32-ROW())&gt;0, 999, IF(AND(COLUMN()-1=Sheet1!$AF$4, 32-ROW()=Sheet1!$AG$4), 0, MIN(G5, H5, I5, G6, I6, G7, H7, I7) + 1)))</f>
        <v>999</v>
      </c>
      <c r="I6">
        <f>IF(Sheet1!$AG$1=1, IF(AND(COLUMN()-1=Sheet1!$AF$4, 32-ROW()=Sheet1!$AG$4), 0, 999), IF(COUNTIFS(Sheet1!$AK$1:$AK$50, COLUMN()-1, Sheet1!$AL$1:$AL$50, 32-ROW())&gt;0, 999, IF(AND(COLUMN()-1=Sheet1!$AF$4, 32-ROW()=Sheet1!$AG$4), 0, MIN(H5, I5, J5, H6, J6, H7, I7, J7) + 1)))</f>
        <v>999</v>
      </c>
      <c r="J6">
        <f>IF(Sheet1!$AG$1=1, IF(AND(COLUMN()-1=Sheet1!$AF$4, 32-ROW()=Sheet1!$AG$4), 0, 999), IF(COUNTIFS(Sheet1!$AK$1:$AK$50, COLUMN()-1, Sheet1!$AL$1:$AL$50, 32-ROW())&gt;0, 999, IF(AND(COLUMN()-1=Sheet1!$AF$4, 32-ROW()=Sheet1!$AG$4), 0, MIN(I5, J5, K5, I6, K6, I7, J7, K7) + 1)))</f>
        <v>999</v>
      </c>
      <c r="K6">
        <f>IF(Sheet1!$AG$1=1, IF(AND(COLUMN()-1=Sheet1!$AF$4, 32-ROW()=Sheet1!$AG$4), 0, 999), IF(COUNTIFS(Sheet1!$AK$1:$AK$50, COLUMN()-1, Sheet1!$AL$1:$AL$50, 32-ROW())&gt;0, 999, IF(AND(COLUMN()-1=Sheet1!$AF$4, 32-ROW()=Sheet1!$AG$4), 0, MIN(J5, K5, L5, J6, L6, J7, K7, L7) + 1)))</f>
        <v>999</v>
      </c>
      <c r="L6">
        <f>IF(Sheet1!$AG$1=1, IF(AND(COLUMN()-1=Sheet1!$AF$4, 32-ROW()=Sheet1!$AG$4), 0, 999), IF(COUNTIFS(Sheet1!$AK$1:$AK$50, COLUMN()-1, Sheet1!$AL$1:$AL$50, 32-ROW())&gt;0, 999, IF(AND(COLUMN()-1=Sheet1!$AF$4, 32-ROW()=Sheet1!$AG$4), 0, MIN(K5, L5, M5, K6, M6, K7, L7, M7) + 1)))</f>
        <v>999</v>
      </c>
      <c r="M6">
        <f>IF(Sheet1!$AG$1=1, IF(AND(COLUMN()-1=Sheet1!$AF$4, 32-ROW()=Sheet1!$AG$4), 0, 999), IF(COUNTIFS(Sheet1!$AK$1:$AK$50, COLUMN()-1, Sheet1!$AL$1:$AL$50, 32-ROW())&gt;0, 999, IF(AND(COLUMN()-1=Sheet1!$AF$4, 32-ROW()=Sheet1!$AG$4), 0, MIN(L5, M5, N5, L6, N6, L7, M7, N7) + 1)))</f>
        <v>999</v>
      </c>
      <c r="N6">
        <f>IF(Sheet1!$AG$1=1, IF(AND(COLUMN()-1=Sheet1!$AF$4, 32-ROW()=Sheet1!$AG$4), 0, 999), IF(COUNTIFS(Sheet1!$AK$1:$AK$50, COLUMN()-1, Sheet1!$AL$1:$AL$50, 32-ROW())&gt;0, 999, IF(AND(COLUMN()-1=Sheet1!$AF$4, 32-ROW()=Sheet1!$AG$4), 0, MIN(M5, N5, O5, M6, O6, M7, N7, O7) + 1)))</f>
        <v>999</v>
      </c>
      <c r="O6">
        <f>IF(Sheet1!$AG$1=1, IF(AND(COLUMN()-1=Sheet1!$AF$4, 32-ROW()=Sheet1!$AG$4), 0, 999), IF(COUNTIFS(Sheet1!$AK$1:$AK$50, COLUMN()-1, Sheet1!$AL$1:$AL$50, 32-ROW())&gt;0, 999, IF(AND(COLUMN()-1=Sheet1!$AF$4, 32-ROW()=Sheet1!$AG$4), 0, MIN(N5, O5, P5, N6, P6, N7, O7, P7) + 1)))</f>
        <v>999</v>
      </c>
      <c r="P6">
        <f>IF(Sheet1!$AG$1=1, IF(AND(COLUMN()-1=Sheet1!$AF$4, 32-ROW()=Sheet1!$AG$4), 0, 999), IF(COUNTIFS(Sheet1!$AK$1:$AK$50, COLUMN()-1, Sheet1!$AL$1:$AL$50, 32-ROW())&gt;0, 999, IF(AND(COLUMN()-1=Sheet1!$AF$4, 32-ROW()=Sheet1!$AG$4), 0, MIN(O5, P5, Q5, O6, Q6, O7, P7, Q7) + 1)))</f>
        <v>999</v>
      </c>
      <c r="Q6">
        <f>IF(Sheet1!$AG$1=1, IF(AND(COLUMN()-1=Sheet1!$AF$4, 32-ROW()=Sheet1!$AG$4), 0, 999), IF(COUNTIFS(Sheet1!$AK$1:$AK$50, COLUMN()-1, Sheet1!$AL$1:$AL$50, 32-ROW())&gt;0, 999, IF(AND(COLUMN()-1=Sheet1!$AF$4, 32-ROW()=Sheet1!$AG$4), 0, MIN(P5, Q5, R5, P6, R6, P7, Q7, R7) + 1)))</f>
        <v>999</v>
      </c>
      <c r="R6">
        <f>IF(Sheet1!$AG$1=1, IF(AND(COLUMN()-1=Sheet1!$AF$4, 32-ROW()=Sheet1!$AG$4), 0, 999), IF(COUNTIFS(Sheet1!$AK$1:$AK$50, COLUMN()-1, Sheet1!$AL$1:$AL$50, 32-ROW())&gt;0, 999, IF(AND(COLUMN()-1=Sheet1!$AF$4, 32-ROW()=Sheet1!$AG$4), 0, MIN(Q5, R5, S5, Q6, S6, Q7, R7, S7) + 1)))</f>
        <v>999</v>
      </c>
      <c r="S6">
        <f>IF(Sheet1!$AG$1=1, IF(AND(COLUMN()-1=Sheet1!$AF$4, 32-ROW()=Sheet1!$AG$4), 0, 999), IF(COUNTIFS(Sheet1!$AK$1:$AK$50, COLUMN()-1, Sheet1!$AL$1:$AL$50, 32-ROW())&gt;0, 999, IF(AND(COLUMN()-1=Sheet1!$AF$4, 32-ROW()=Sheet1!$AG$4), 0, MIN(R5, S5, T5, R6, T6, R7, S7, T7) + 1)))</f>
        <v>999</v>
      </c>
      <c r="T6">
        <f>IF(Sheet1!$AG$1=1, IF(AND(COLUMN()-1=Sheet1!$AF$4, 32-ROW()=Sheet1!$AG$4), 0, 999), IF(COUNTIFS(Sheet1!$AK$1:$AK$50, COLUMN()-1, Sheet1!$AL$1:$AL$50, 32-ROW())&gt;0, 999, IF(AND(COLUMN()-1=Sheet1!$AF$4, 32-ROW()=Sheet1!$AG$4), 0, MIN(S5, T5, U5, S6, U6, S7, T7, U7) + 1)))</f>
        <v>999</v>
      </c>
      <c r="U6">
        <f>IF(Sheet1!$AG$1=1, IF(AND(COLUMN()-1=Sheet1!$AF$4, 32-ROW()=Sheet1!$AG$4), 0, 999), IF(COUNTIFS(Sheet1!$AK$1:$AK$50, COLUMN()-1, Sheet1!$AL$1:$AL$50, 32-ROW())&gt;0, 999, IF(AND(COLUMN()-1=Sheet1!$AF$4, 32-ROW()=Sheet1!$AG$4), 0, MIN(T5, U5, V5, T6, V6, T7, U7, V7) + 1)))</f>
        <v>999</v>
      </c>
      <c r="V6">
        <f>IF(Sheet1!$AG$1=1, IF(AND(COLUMN()-1=Sheet1!$AF$4, 32-ROW()=Sheet1!$AG$4), 0, 999), IF(COUNTIFS(Sheet1!$AK$1:$AK$50, COLUMN()-1, Sheet1!$AL$1:$AL$50, 32-ROW())&gt;0, 999, IF(AND(COLUMN()-1=Sheet1!$AF$4, 32-ROW()=Sheet1!$AG$4), 0, MIN(U5, V5, W5, U6, W6, U7, V7, W7) + 1)))</f>
        <v>999</v>
      </c>
      <c r="W6">
        <f>IF(Sheet1!$AG$1=1, IF(AND(COLUMN()-1=Sheet1!$AF$4, 32-ROW()=Sheet1!$AG$4), 0, 999), IF(COUNTIFS(Sheet1!$AK$1:$AK$50, COLUMN()-1, Sheet1!$AL$1:$AL$50, 32-ROW())&gt;0, 999, IF(AND(COLUMN()-1=Sheet1!$AF$4, 32-ROW()=Sheet1!$AG$4), 0, MIN(V5, W5, X5, V6, X6, V7, W7, X7) + 1)))</f>
        <v>999</v>
      </c>
      <c r="X6">
        <f>IF(Sheet1!$AG$1=1, IF(AND(COLUMN()-1=Sheet1!$AF$4, 32-ROW()=Sheet1!$AG$4), 0, 999), IF(COUNTIFS(Sheet1!$AK$1:$AK$50, COLUMN()-1, Sheet1!$AL$1:$AL$50, 32-ROW())&gt;0, 999, IF(AND(COLUMN()-1=Sheet1!$AF$4, 32-ROW()=Sheet1!$AG$4), 0, MIN(W5, X5, Y5, W6, Y6, W7, X7, Y7) + 1)))</f>
        <v>999</v>
      </c>
      <c r="Y6">
        <f>IF(Sheet1!$AG$1=1, IF(AND(COLUMN()-1=Sheet1!$AF$4, 32-ROW()=Sheet1!$AG$4), 0, 999), IF(COUNTIFS(Sheet1!$AK$1:$AK$50, COLUMN()-1, Sheet1!$AL$1:$AL$50, 32-ROW())&gt;0, 999, IF(AND(COLUMN()-1=Sheet1!$AF$4, 32-ROW()=Sheet1!$AG$4), 0, MIN(X5, Y5, Z5, X6, Z6, X7, Y7, Z7) + 1)))</f>
        <v>999</v>
      </c>
      <c r="Z6">
        <f>IF(Sheet1!$AG$1=1, IF(AND(COLUMN()-1=Sheet1!$AF$4, 32-ROW()=Sheet1!$AG$4), 0, 999), IF(COUNTIFS(Sheet1!$AK$1:$AK$50, COLUMN()-1, Sheet1!$AL$1:$AL$50, 32-ROW())&gt;0, 999, IF(AND(COLUMN()-1=Sheet1!$AF$4, 32-ROW()=Sheet1!$AG$4), 0, MIN(Y5, Z5, AA5, Y6, AA6, Y7, Z7, AA7) + 1)))</f>
        <v>999</v>
      </c>
      <c r="AA6">
        <f>IF(Sheet1!$AG$1=1, IF(AND(COLUMN()-1=Sheet1!$AF$4, 32-ROW()=Sheet1!$AG$4), 0, 999), IF(COUNTIFS(Sheet1!$AK$1:$AK$50, COLUMN()-1, Sheet1!$AL$1:$AL$50, 32-ROW())&gt;0, 999, IF(AND(COLUMN()-1=Sheet1!$AF$4, 32-ROW()=Sheet1!$AG$4), 0, MIN(Z5, AA5, AB5, Z6, AB6, Z7, AA7, AB7) + 1)))</f>
        <v>999</v>
      </c>
      <c r="AB6">
        <f>IF(Sheet1!$AG$1=1, IF(AND(COLUMN()-1=Sheet1!$AF$4, 32-ROW()=Sheet1!$AG$4), 0, 999), IF(COUNTIFS(Sheet1!$AK$1:$AK$50, COLUMN()-1, Sheet1!$AL$1:$AL$50, 32-ROW())&gt;0, 999, IF(AND(COLUMN()-1=Sheet1!$AF$4, 32-ROW()=Sheet1!$AG$4), 0, MIN(AA5, AB5, AC5, AA6, AC6, AA7, AB7, AC7) + 1)))</f>
        <v>999</v>
      </c>
      <c r="AC6">
        <f>IF(Sheet1!$AG$1=1, IF(AND(COLUMN()-1=Sheet1!$AF$4, 32-ROW()=Sheet1!$AG$4), 0, 999), IF(COUNTIFS(Sheet1!$AK$1:$AK$50, COLUMN()-1, Sheet1!$AL$1:$AL$50, 32-ROW())&gt;0, 999, IF(AND(COLUMN()-1=Sheet1!$AF$4, 32-ROW()=Sheet1!$AG$4), 0, MIN(AB5, AC5, AD5, AB6, AD6, AB7, AC7, AD7) + 1)))</f>
        <v>999</v>
      </c>
      <c r="AD6">
        <f>IF(Sheet1!$AG$1=1, IF(AND(COLUMN()-1=Sheet1!$AF$4, 32-ROW()=Sheet1!$AG$4), 0, 999), IF(COUNTIFS(Sheet1!$AK$1:$AK$50, COLUMN()-1, Sheet1!$AL$1:$AL$50, 32-ROW())&gt;0, 999, IF(AND(COLUMN()-1=Sheet1!$AF$4, 32-ROW()=Sheet1!$AG$4), 0, MIN(AC5, AD5, AE5, AC6, AE6, AC7, AD7, AE7) + 1)))</f>
        <v>999</v>
      </c>
      <c r="AE6">
        <f>IF(Sheet1!$AG$1=1, IF(AND(COLUMN()-1=Sheet1!$AF$4, 32-ROW()=Sheet1!$AG$4), 0, 999), IF(COUNTIFS(Sheet1!$AK$1:$AK$50, COLUMN()-1, Sheet1!$AL$1:$AL$50, 32-ROW())&gt;0, 999, IF(AND(COLUMN()-1=Sheet1!$AF$4, 32-ROW()=Sheet1!$AG$4), 0, MIN(AD5, AE5, AF5, AD6, AF6, AD7, AE7, AF7) + 1)))</f>
        <v>999</v>
      </c>
      <c r="AF6">
        <v>999</v>
      </c>
    </row>
    <row r="7" spans="1:32">
      <c r="A7">
        <v>999</v>
      </c>
      <c r="B7">
        <f>IF(Sheet1!$AG$1=1, IF(AND(COLUMN()-1=Sheet1!$AF$4, 32-ROW()=Sheet1!$AG$4), 0, 999), IF(COUNTIFS(Sheet1!$AK$1:$AK$50, COLUMN()-1, Sheet1!$AL$1:$AL$50, 32-ROW())&gt;0, 999, IF(AND(COLUMN()-1=Sheet1!$AF$4, 32-ROW()=Sheet1!$AG$4), 0, MIN(A6, B6, C6, A7, C7, A8, B8, C8) + 1)))</f>
        <v>999</v>
      </c>
      <c r="C7">
        <f>IF(Sheet1!$AG$1=1, IF(AND(COLUMN()-1=Sheet1!$AF$4, 32-ROW()=Sheet1!$AG$4), 0, 999), IF(COUNTIFS(Sheet1!$AK$1:$AK$50, COLUMN()-1, Sheet1!$AL$1:$AL$50, 32-ROW())&gt;0, 999, IF(AND(COLUMN()-1=Sheet1!$AF$4, 32-ROW()=Sheet1!$AG$4), 0, MIN(B6, C6, D6, B7, D7, B8, C8, D8) + 1)))</f>
        <v>999</v>
      </c>
      <c r="D7">
        <f>IF(Sheet1!$AG$1=1, IF(AND(COLUMN()-1=Sheet1!$AF$4, 32-ROW()=Sheet1!$AG$4), 0, 999), IF(COUNTIFS(Sheet1!$AK$1:$AK$50, COLUMN()-1, Sheet1!$AL$1:$AL$50, 32-ROW())&gt;0, 999, IF(AND(COLUMN()-1=Sheet1!$AF$4, 32-ROW()=Sheet1!$AG$4), 0, MIN(C6, D6, E6, C7, E7, C8, D8, E8) + 1)))</f>
        <v>999</v>
      </c>
      <c r="E7">
        <f>IF(Sheet1!$AG$1=1, IF(AND(COLUMN()-1=Sheet1!$AF$4, 32-ROW()=Sheet1!$AG$4), 0, 999), IF(COUNTIFS(Sheet1!$AK$1:$AK$50, COLUMN()-1, Sheet1!$AL$1:$AL$50, 32-ROW())&gt;0, 999, IF(AND(COLUMN()-1=Sheet1!$AF$4, 32-ROW()=Sheet1!$AG$4), 0, MIN(D6, E6, F6, D7, F7, D8, E8, F8) + 1)))</f>
        <v>999</v>
      </c>
      <c r="F7">
        <f>IF(Sheet1!$AG$1=1, IF(AND(COLUMN()-1=Sheet1!$AF$4, 32-ROW()=Sheet1!$AG$4), 0, 999), IF(COUNTIFS(Sheet1!$AK$1:$AK$50, COLUMN()-1, Sheet1!$AL$1:$AL$50, 32-ROW())&gt;0, 999, IF(AND(COLUMN()-1=Sheet1!$AF$4, 32-ROW()=Sheet1!$AG$4), 0, MIN(E6, F6, G6, E7, G7, E8, F8, G8) + 1)))</f>
        <v>999</v>
      </c>
      <c r="G7">
        <f>IF(Sheet1!$AG$1=1, IF(AND(COLUMN()-1=Sheet1!$AF$4, 32-ROW()=Sheet1!$AG$4), 0, 999), IF(COUNTIFS(Sheet1!$AK$1:$AK$50, COLUMN()-1, Sheet1!$AL$1:$AL$50, 32-ROW())&gt;0, 999, IF(AND(COLUMN()-1=Sheet1!$AF$4, 32-ROW()=Sheet1!$AG$4), 0, MIN(F6, G6, H6, F7, H7, F8, G8, H8) + 1)))</f>
        <v>999</v>
      </c>
      <c r="H7">
        <f>IF(Sheet1!$AG$1=1, IF(AND(COLUMN()-1=Sheet1!$AF$4, 32-ROW()=Sheet1!$AG$4), 0, 999), IF(COUNTIFS(Sheet1!$AK$1:$AK$50, COLUMN()-1, Sheet1!$AL$1:$AL$50, 32-ROW())&gt;0, 999, IF(AND(COLUMN()-1=Sheet1!$AF$4, 32-ROW()=Sheet1!$AG$4), 0, MIN(G6, H6, I6, G7, I7, G8, H8, I8) + 1)))</f>
        <v>999</v>
      </c>
      <c r="I7">
        <f>IF(Sheet1!$AG$1=1, IF(AND(COLUMN()-1=Sheet1!$AF$4, 32-ROW()=Sheet1!$AG$4), 0, 999), IF(COUNTIFS(Sheet1!$AK$1:$AK$50, COLUMN()-1, Sheet1!$AL$1:$AL$50, 32-ROW())&gt;0, 999, IF(AND(COLUMN()-1=Sheet1!$AF$4, 32-ROW()=Sheet1!$AG$4), 0, MIN(H6, I6, J6, H7, J7, H8, I8, J8) + 1)))</f>
        <v>999</v>
      </c>
      <c r="J7">
        <f>IF(Sheet1!$AG$1=1, IF(AND(COLUMN()-1=Sheet1!$AF$4, 32-ROW()=Sheet1!$AG$4), 0, 999), IF(COUNTIFS(Sheet1!$AK$1:$AK$50, COLUMN()-1, Sheet1!$AL$1:$AL$50, 32-ROW())&gt;0, 999, IF(AND(COLUMN()-1=Sheet1!$AF$4, 32-ROW()=Sheet1!$AG$4), 0, MIN(I6, J6, K6, I7, K7, I8, J8, K8) + 1)))</f>
        <v>999</v>
      </c>
      <c r="K7">
        <f>IF(Sheet1!$AG$1=1, IF(AND(COLUMN()-1=Sheet1!$AF$4, 32-ROW()=Sheet1!$AG$4), 0, 999), IF(COUNTIFS(Sheet1!$AK$1:$AK$50, COLUMN()-1, Sheet1!$AL$1:$AL$50, 32-ROW())&gt;0, 999, IF(AND(COLUMN()-1=Sheet1!$AF$4, 32-ROW()=Sheet1!$AG$4), 0, MIN(J6, K6, L6, J7, L7, J8, K8, L8) + 1)))</f>
        <v>999</v>
      </c>
      <c r="L7">
        <f>IF(Sheet1!$AG$1=1, IF(AND(COLUMN()-1=Sheet1!$AF$4, 32-ROW()=Sheet1!$AG$4), 0, 999), IF(COUNTIFS(Sheet1!$AK$1:$AK$50, COLUMN()-1, Sheet1!$AL$1:$AL$50, 32-ROW())&gt;0, 999, IF(AND(COLUMN()-1=Sheet1!$AF$4, 32-ROW()=Sheet1!$AG$4), 0, MIN(K6, L6, M6, K7, M7, K8, L8, M8) + 1)))</f>
        <v>999</v>
      </c>
      <c r="M7">
        <f>IF(Sheet1!$AG$1=1, IF(AND(COLUMN()-1=Sheet1!$AF$4, 32-ROW()=Sheet1!$AG$4), 0, 999), IF(COUNTIFS(Sheet1!$AK$1:$AK$50, COLUMN()-1, Sheet1!$AL$1:$AL$50, 32-ROW())&gt;0, 999, IF(AND(COLUMN()-1=Sheet1!$AF$4, 32-ROW()=Sheet1!$AG$4), 0, MIN(L6, M6, N6, L7, N7, L8, M8, N8) + 1)))</f>
        <v>999</v>
      </c>
      <c r="N7">
        <f>IF(Sheet1!$AG$1=1, IF(AND(COLUMN()-1=Sheet1!$AF$4, 32-ROW()=Sheet1!$AG$4), 0, 999), IF(COUNTIFS(Sheet1!$AK$1:$AK$50, COLUMN()-1, Sheet1!$AL$1:$AL$50, 32-ROW())&gt;0, 999, IF(AND(COLUMN()-1=Sheet1!$AF$4, 32-ROW()=Sheet1!$AG$4), 0, MIN(M6, N6, O6, M7, O7, M8, N8, O8) + 1)))</f>
        <v>999</v>
      </c>
      <c r="O7">
        <f>IF(Sheet1!$AG$1=1, IF(AND(COLUMN()-1=Sheet1!$AF$4, 32-ROW()=Sheet1!$AG$4), 0, 999), IF(COUNTIFS(Sheet1!$AK$1:$AK$50, COLUMN()-1, Sheet1!$AL$1:$AL$50, 32-ROW())&gt;0, 999, IF(AND(COLUMN()-1=Sheet1!$AF$4, 32-ROW()=Sheet1!$AG$4), 0, MIN(N6, O6, P6, N7, P7, N8, O8, P8) + 1)))</f>
        <v>999</v>
      </c>
      <c r="P7">
        <f>IF(Sheet1!$AG$1=1, IF(AND(COLUMN()-1=Sheet1!$AF$4, 32-ROW()=Sheet1!$AG$4), 0, 999), IF(COUNTIFS(Sheet1!$AK$1:$AK$50, COLUMN()-1, Sheet1!$AL$1:$AL$50, 32-ROW())&gt;0, 999, IF(AND(COLUMN()-1=Sheet1!$AF$4, 32-ROW()=Sheet1!$AG$4), 0, MIN(O6, P6, Q6, O7, Q7, O8, P8, Q8) + 1)))</f>
        <v>999</v>
      </c>
      <c r="Q7">
        <f>IF(Sheet1!$AG$1=1, IF(AND(COLUMN()-1=Sheet1!$AF$4, 32-ROW()=Sheet1!$AG$4), 0, 999), IF(COUNTIFS(Sheet1!$AK$1:$AK$50, COLUMN()-1, Sheet1!$AL$1:$AL$50, 32-ROW())&gt;0, 999, IF(AND(COLUMN()-1=Sheet1!$AF$4, 32-ROW()=Sheet1!$AG$4), 0, MIN(P6, Q6, R6, P7, R7, P8, Q8, R8) + 1)))</f>
        <v>999</v>
      </c>
      <c r="R7">
        <f>IF(Sheet1!$AG$1=1, IF(AND(COLUMN()-1=Sheet1!$AF$4, 32-ROW()=Sheet1!$AG$4), 0, 999), IF(COUNTIFS(Sheet1!$AK$1:$AK$50, COLUMN()-1, Sheet1!$AL$1:$AL$50, 32-ROW())&gt;0, 999, IF(AND(COLUMN()-1=Sheet1!$AF$4, 32-ROW()=Sheet1!$AG$4), 0, MIN(Q6, R6, S6, Q7, S7, Q8, R8, S8) + 1)))</f>
        <v>999</v>
      </c>
      <c r="S7">
        <f>IF(Sheet1!$AG$1=1, IF(AND(COLUMN()-1=Sheet1!$AF$4, 32-ROW()=Sheet1!$AG$4), 0, 999), IF(COUNTIFS(Sheet1!$AK$1:$AK$50, COLUMN()-1, Sheet1!$AL$1:$AL$50, 32-ROW())&gt;0, 999, IF(AND(COLUMN()-1=Sheet1!$AF$4, 32-ROW()=Sheet1!$AG$4), 0, MIN(R6, S6, T6, R7, T7, R8, S8, T8) + 1)))</f>
        <v>999</v>
      </c>
      <c r="T7">
        <f>IF(Sheet1!$AG$1=1, IF(AND(COLUMN()-1=Sheet1!$AF$4, 32-ROW()=Sheet1!$AG$4), 0, 999), IF(COUNTIFS(Sheet1!$AK$1:$AK$50, COLUMN()-1, Sheet1!$AL$1:$AL$50, 32-ROW())&gt;0, 999, IF(AND(COLUMN()-1=Sheet1!$AF$4, 32-ROW()=Sheet1!$AG$4), 0, MIN(S6, T6, U6, S7, U7, S8, T8, U8) + 1)))</f>
        <v>999</v>
      </c>
      <c r="U7">
        <f>IF(Sheet1!$AG$1=1, IF(AND(COLUMN()-1=Sheet1!$AF$4, 32-ROW()=Sheet1!$AG$4), 0, 999), IF(COUNTIFS(Sheet1!$AK$1:$AK$50, COLUMN()-1, Sheet1!$AL$1:$AL$50, 32-ROW())&gt;0, 999, IF(AND(COLUMN()-1=Sheet1!$AF$4, 32-ROW()=Sheet1!$AG$4), 0, MIN(T6, U6, V6, T7, V7, T8, U8, V8) + 1)))</f>
        <v>999</v>
      </c>
      <c r="V7">
        <f>IF(Sheet1!$AG$1=1, IF(AND(COLUMN()-1=Sheet1!$AF$4, 32-ROW()=Sheet1!$AG$4), 0, 999), IF(COUNTIFS(Sheet1!$AK$1:$AK$50, COLUMN()-1, Sheet1!$AL$1:$AL$50, 32-ROW())&gt;0, 999, IF(AND(COLUMN()-1=Sheet1!$AF$4, 32-ROW()=Sheet1!$AG$4), 0, MIN(U6, V6, W6, U7, W7, U8, V8, W8) + 1)))</f>
        <v>999</v>
      </c>
      <c r="W7">
        <f>IF(Sheet1!$AG$1=1, IF(AND(COLUMN()-1=Sheet1!$AF$4, 32-ROW()=Sheet1!$AG$4), 0, 999), IF(COUNTIFS(Sheet1!$AK$1:$AK$50, COLUMN()-1, Sheet1!$AL$1:$AL$50, 32-ROW())&gt;0, 999, IF(AND(COLUMN()-1=Sheet1!$AF$4, 32-ROW()=Sheet1!$AG$4), 0, MIN(V6, W6, X6, V7, X7, V8, W8, X8) + 1)))</f>
        <v>999</v>
      </c>
      <c r="X7">
        <f>IF(Sheet1!$AG$1=1, IF(AND(COLUMN()-1=Sheet1!$AF$4, 32-ROW()=Sheet1!$AG$4), 0, 999), IF(COUNTIFS(Sheet1!$AK$1:$AK$50, COLUMN()-1, Sheet1!$AL$1:$AL$50, 32-ROW())&gt;0, 999, IF(AND(COLUMN()-1=Sheet1!$AF$4, 32-ROW()=Sheet1!$AG$4), 0, MIN(W6, X6, Y6, W7, Y7, W8, X8, Y8) + 1)))</f>
        <v>999</v>
      </c>
      <c r="Y7">
        <f>IF(Sheet1!$AG$1=1, IF(AND(COLUMN()-1=Sheet1!$AF$4, 32-ROW()=Sheet1!$AG$4), 0, 999), IF(COUNTIFS(Sheet1!$AK$1:$AK$50, COLUMN()-1, Sheet1!$AL$1:$AL$50, 32-ROW())&gt;0, 999, IF(AND(COLUMN()-1=Sheet1!$AF$4, 32-ROW()=Sheet1!$AG$4), 0, MIN(X6, Y6, Z6, X7, Z7, X8, Y8, Z8) + 1)))</f>
        <v>999</v>
      </c>
      <c r="Z7">
        <f>IF(Sheet1!$AG$1=1, IF(AND(COLUMN()-1=Sheet1!$AF$4, 32-ROW()=Sheet1!$AG$4), 0, 999), IF(COUNTIFS(Sheet1!$AK$1:$AK$50, COLUMN()-1, Sheet1!$AL$1:$AL$50, 32-ROW())&gt;0, 999, IF(AND(COLUMN()-1=Sheet1!$AF$4, 32-ROW()=Sheet1!$AG$4), 0, MIN(Y6, Z6, AA6, Y7, AA7, Y8, Z8, AA8) + 1)))</f>
        <v>999</v>
      </c>
      <c r="AA7">
        <f>IF(Sheet1!$AG$1=1, IF(AND(COLUMN()-1=Sheet1!$AF$4, 32-ROW()=Sheet1!$AG$4), 0, 999), IF(COUNTIFS(Sheet1!$AK$1:$AK$50, COLUMN()-1, Sheet1!$AL$1:$AL$50, 32-ROW())&gt;0, 999, IF(AND(COLUMN()-1=Sheet1!$AF$4, 32-ROW()=Sheet1!$AG$4), 0, MIN(Z6, AA6, AB6, Z7, AB7, Z8, AA8, AB8) + 1)))</f>
        <v>999</v>
      </c>
      <c r="AB7">
        <f>IF(Sheet1!$AG$1=1, IF(AND(COLUMN()-1=Sheet1!$AF$4, 32-ROW()=Sheet1!$AG$4), 0, 999), IF(COUNTIFS(Sheet1!$AK$1:$AK$50, COLUMN()-1, Sheet1!$AL$1:$AL$50, 32-ROW())&gt;0, 999, IF(AND(COLUMN()-1=Sheet1!$AF$4, 32-ROW()=Sheet1!$AG$4), 0, MIN(AA6, AB6, AC6, AA7, AC7, AA8, AB8, AC8) + 1)))</f>
        <v>999</v>
      </c>
      <c r="AC7">
        <f>IF(Sheet1!$AG$1=1, IF(AND(COLUMN()-1=Sheet1!$AF$4, 32-ROW()=Sheet1!$AG$4), 0, 999), IF(COUNTIFS(Sheet1!$AK$1:$AK$50, COLUMN()-1, Sheet1!$AL$1:$AL$50, 32-ROW())&gt;0, 999, IF(AND(COLUMN()-1=Sheet1!$AF$4, 32-ROW()=Sheet1!$AG$4), 0, MIN(AB6, AC6, AD6, AB7, AD7, AB8, AC8, AD8) + 1)))</f>
        <v>999</v>
      </c>
      <c r="AD7">
        <f>IF(Sheet1!$AG$1=1, IF(AND(COLUMN()-1=Sheet1!$AF$4, 32-ROW()=Sheet1!$AG$4), 0, 999), IF(COUNTIFS(Sheet1!$AK$1:$AK$50, COLUMN()-1, Sheet1!$AL$1:$AL$50, 32-ROW())&gt;0, 999, IF(AND(COLUMN()-1=Sheet1!$AF$4, 32-ROW()=Sheet1!$AG$4), 0, MIN(AC6, AD6, AE6, AC7, AE7, AC8, AD8, AE8) + 1)))</f>
        <v>999</v>
      </c>
      <c r="AE7">
        <f>IF(Sheet1!$AG$1=1, IF(AND(COLUMN()-1=Sheet1!$AF$4, 32-ROW()=Sheet1!$AG$4), 0, 999), IF(COUNTIFS(Sheet1!$AK$1:$AK$50, COLUMN()-1, Sheet1!$AL$1:$AL$50, 32-ROW())&gt;0, 999, IF(AND(COLUMN()-1=Sheet1!$AF$4, 32-ROW()=Sheet1!$AG$4), 0, MIN(AD6, AE6, AF6, AD7, AF7, AD8, AE8, AF8) + 1)))</f>
        <v>999</v>
      </c>
      <c r="AF7">
        <v>999</v>
      </c>
    </row>
    <row r="8" spans="1:32">
      <c r="A8">
        <v>999</v>
      </c>
      <c r="B8">
        <f>IF(Sheet1!$AG$1=1, IF(AND(COLUMN()-1=Sheet1!$AF$4, 32-ROW()=Sheet1!$AG$4), 0, 999), IF(COUNTIFS(Sheet1!$AK$1:$AK$50, COLUMN()-1, Sheet1!$AL$1:$AL$50, 32-ROW())&gt;0, 999, IF(AND(COLUMN()-1=Sheet1!$AF$4, 32-ROW()=Sheet1!$AG$4), 0, MIN(A7, B7, C7, A8, C8, A9, B9, C9) + 1)))</f>
        <v>999</v>
      </c>
      <c r="C8">
        <f>IF(Sheet1!$AG$1=1, IF(AND(COLUMN()-1=Sheet1!$AF$4, 32-ROW()=Sheet1!$AG$4), 0, 999), IF(COUNTIFS(Sheet1!$AK$1:$AK$50, COLUMN()-1, Sheet1!$AL$1:$AL$50, 32-ROW())&gt;0, 999, IF(AND(COLUMN()-1=Sheet1!$AF$4, 32-ROW()=Sheet1!$AG$4), 0, MIN(B7, C7, D7, B8, D8, B9, C9, D9) + 1)))</f>
        <v>999</v>
      </c>
      <c r="D8">
        <f>IF(Sheet1!$AG$1=1, IF(AND(COLUMN()-1=Sheet1!$AF$4, 32-ROW()=Sheet1!$AG$4), 0, 999), IF(COUNTIFS(Sheet1!$AK$1:$AK$50, COLUMN()-1, Sheet1!$AL$1:$AL$50, 32-ROW())&gt;0, 999, IF(AND(COLUMN()-1=Sheet1!$AF$4, 32-ROW()=Sheet1!$AG$4), 0, MIN(C7, D7, E7, C8, E8, C9, D9, E9) + 1)))</f>
        <v>999</v>
      </c>
      <c r="E8">
        <f>IF(Sheet1!$AG$1=1, IF(AND(COLUMN()-1=Sheet1!$AF$4, 32-ROW()=Sheet1!$AG$4), 0, 999), IF(COUNTIFS(Sheet1!$AK$1:$AK$50, COLUMN()-1, Sheet1!$AL$1:$AL$50, 32-ROW())&gt;0, 999, IF(AND(COLUMN()-1=Sheet1!$AF$4, 32-ROW()=Sheet1!$AG$4), 0, MIN(D7, E7, F7, D8, F8, D9, E9, F9) + 1)))</f>
        <v>999</v>
      </c>
      <c r="F8">
        <f>IF(Sheet1!$AG$1=1, IF(AND(COLUMN()-1=Sheet1!$AF$4, 32-ROW()=Sheet1!$AG$4), 0, 999), IF(COUNTIFS(Sheet1!$AK$1:$AK$50, COLUMN()-1, Sheet1!$AL$1:$AL$50, 32-ROW())&gt;0, 999, IF(AND(COLUMN()-1=Sheet1!$AF$4, 32-ROW()=Sheet1!$AG$4), 0, MIN(E7, F7, G7, E8, G8, E9, F9, G9) + 1)))</f>
        <v>999</v>
      </c>
      <c r="G8">
        <f>IF(Sheet1!$AG$1=1, IF(AND(COLUMN()-1=Sheet1!$AF$4, 32-ROW()=Sheet1!$AG$4), 0, 999), IF(COUNTIFS(Sheet1!$AK$1:$AK$50, COLUMN()-1, Sheet1!$AL$1:$AL$50, 32-ROW())&gt;0, 999, IF(AND(COLUMN()-1=Sheet1!$AF$4, 32-ROW()=Sheet1!$AG$4), 0, MIN(F7, G7, H7, F8, H8, F9, G9, H9) + 1)))</f>
        <v>999</v>
      </c>
      <c r="H8">
        <f>IF(Sheet1!$AG$1=1, IF(AND(COLUMN()-1=Sheet1!$AF$4, 32-ROW()=Sheet1!$AG$4), 0, 999), IF(COUNTIFS(Sheet1!$AK$1:$AK$50, COLUMN()-1, Sheet1!$AL$1:$AL$50, 32-ROW())&gt;0, 999, IF(AND(COLUMN()-1=Sheet1!$AF$4, 32-ROW()=Sheet1!$AG$4), 0, MIN(G7, H7, I7, G8, I8, G9, H9, I9) + 1)))</f>
        <v>999</v>
      </c>
      <c r="I8">
        <f>IF(Sheet1!$AG$1=1, IF(AND(COLUMN()-1=Sheet1!$AF$4, 32-ROW()=Sheet1!$AG$4), 0, 999), IF(COUNTIFS(Sheet1!$AK$1:$AK$50, COLUMN()-1, Sheet1!$AL$1:$AL$50, 32-ROW())&gt;0, 999, IF(AND(COLUMN()-1=Sheet1!$AF$4, 32-ROW()=Sheet1!$AG$4), 0, MIN(H7, I7, J7, H8, J8, H9, I9, J9) + 1)))</f>
        <v>999</v>
      </c>
      <c r="J8">
        <f>IF(Sheet1!$AG$1=1, IF(AND(COLUMN()-1=Sheet1!$AF$4, 32-ROW()=Sheet1!$AG$4), 0, 999), IF(COUNTIFS(Sheet1!$AK$1:$AK$50, COLUMN()-1, Sheet1!$AL$1:$AL$50, 32-ROW())&gt;0, 999, IF(AND(COLUMN()-1=Sheet1!$AF$4, 32-ROW()=Sheet1!$AG$4), 0, MIN(I7, J7, K7, I8, K8, I9, J9, K9) + 1)))</f>
        <v>999</v>
      </c>
      <c r="K8">
        <f>IF(Sheet1!$AG$1=1, IF(AND(COLUMN()-1=Sheet1!$AF$4, 32-ROW()=Sheet1!$AG$4), 0, 999), IF(COUNTIFS(Sheet1!$AK$1:$AK$50, COLUMN()-1, Sheet1!$AL$1:$AL$50, 32-ROW())&gt;0, 999, IF(AND(COLUMN()-1=Sheet1!$AF$4, 32-ROW()=Sheet1!$AG$4), 0, MIN(J7, K7, L7, J8, L8, J9, K9, L9) + 1)))</f>
        <v>999</v>
      </c>
      <c r="L8">
        <f>IF(Sheet1!$AG$1=1, IF(AND(COLUMN()-1=Sheet1!$AF$4, 32-ROW()=Sheet1!$AG$4), 0, 999), IF(COUNTIFS(Sheet1!$AK$1:$AK$50, COLUMN()-1, Sheet1!$AL$1:$AL$50, 32-ROW())&gt;0, 999, IF(AND(COLUMN()-1=Sheet1!$AF$4, 32-ROW()=Sheet1!$AG$4), 0, MIN(K7, L7, M7, K8, M8, K9, L9, M9) + 1)))</f>
        <v>999</v>
      </c>
      <c r="M8">
        <f>IF(Sheet1!$AG$1=1, IF(AND(COLUMN()-1=Sheet1!$AF$4, 32-ROW()=Sheet1!$AG$4), 0, 999), IF(COUNTIFS(Sheet1!$AK$1:$AK$50, COLUMN()-1, Sheet1!$AL$1:$AL$50, 32-ROW())&gt;0, 999, IF(AND(COLUMN()-1=Sheet1!$AF$4, 32-ROW()=Sheet1!$AG$4), 0, MIN(L7, M7, N7, L8, N8, L9, M9, N9) + 1)))</f>
        <v>999</v>
      </c>
      <c r="N8">
        <f>IF(Sheet1!$AG$1=1, IF(AND(COLUMN()-1=Sheet1!$AF$4, 32-ROW()=Sheet1!$AG$4), 0, 999), IF(COUNTIFS(Sheet1!$AK$1:$AK$50, COLUMN()-1, Sheet1!$AL$1:$AL$50, 32-ROW())&gt;0, 999, IF(AND(COLUMN()-1=Sheet1!$AF$4, 32-ROW()=Sheet1!$AG$4), 0, MIN(M7, N7, O7, M8, O8, M9, N9, O9) + 1)))</f>
        <v>999</v>
      </c>
      <c r="O8">
        <f>IF(Sheet1!$AG$1=1, IF(AND(COLUMN()-1=Sheet1!$AF$4, 32-ROW()=Sheet1!$AG$4), 0, 999), IF(COUNTIFS(Sheet1!$AK$1:$AK$50, COLUMN()-1, Sheet1!$AL$1:$AL$50, 32-ROW())&gt;0, 999, IF(AND(COLUMN()-1=Sheet1!$AF$4, 32-ROW()=Sheet1!$AG$4), 0, MIN(N7, O7, P7, N8, P8, N9, O9, P9) + 1)))</f>
        <v>999</v>
      </c>
      <c r="P8">
        <f>IF(Sheet1!$AG$1=1, IF(AND(COLUMN()-1=Sheet1!$AF$4, 32-ROW()=Sheet1!$AG$4), 0, 999), IF(COUNTIFS(Sheet1!$AK$1:$AK$50, COLUMN()-1, Sheet1!$AL$1:$AL$50, 32-ROW())&gt;0, 999, IF(AND(COLUMN()-1=Sheet1!$AF$4, 32-ROW()=Sheet1!$AG$4), 0, MIN(O7, P7, Q7, O8, Q8, O9, P9, Q9) + 1)))</f>
        <v>999</v>
      </c>
      <c r="Q8">
        <f>IF(Sheet1!$AG$1=1, IF(AND(COLUMN()-1=Sheet1!$AF$4, 32-ROW()=Sheet1!$AG$4), 0, 999), IF(COUNTIFS(Sheet1!$AK$1:$AK$50, COLUMN()-1, Sheet1!$AL$1:$AL$50, 32-ROW())&gt;0, 999, IF(AND(COLUMN()-1=Sheet1!$AF$4, 32-ROW()=Sheet1!$AG$4), 0, MIN(P7, Q7, R7, P8, R8, P9, Q9, R9) + 1)))</f>
        <v>999</v>
      </c>
      <c r="R8">
        <f>IF(Sheet1!$AG$1=1, IF(AND(COLUMN()-1=Sheet1!$AF$4, 32-ROW()=Sheet1!$AG$4), 0, 999), IF(COUNTIFS(Sheet1!$AK$1:$AK$50, COLUMN()-1, Sheet1!$AL$1:$AL$50, 32-ROW())&gt;0, 999, IF(AND(COLUMN()-1=Sheet1!$AF$4, 32-ROW()=Sheet1!$AG$4), 0, MIN(Q7, R7, S7, Q8, S8, Q9, R9, S9) + 1)))</f>
        <v>999</v>
      </c>
      <c r="S8">
        <f>IF(Sheet1!$AG$1=1, IF(AND(COLUMN()-1=Sheet1!$AF$4, 32-ROW()=Sheet1!$AG$4), 0, 999), IF(COUNTIFS(Sheet1!$AK$1:$AK$50, COLUMN()-1, Sheet1!$AL$1:$AL$50, 32-ROW())&gt;0, 999, IF(AND(COLUMN()-1=Sheet1!$AF$4, 32-ROW()=Sheet1!$AG$4), 0, MIN(R7, S7, T7, R8, T8, R9, S9, T9) + 1)))</f>
        <v>999</v>
      </c>
      <c r="T8">
        <f>IF(Sheet1!$AG$1=1, IF(AND(COLUMN()-1=Sheet1!$AF$4, 32-ROW()=Sheet1!$AG$4), 0, 999), IF(COUNTIFS(Sheet1!$AK$1:$AK$50, COLUMN()-1, Sheet1!$AL$1:$AL$50, 32-ROW())&gt;0, 999, IF(AND(COLUMN()-1=Sheet1!$AF$4, 32-ROW()=Sheet1!$AG$4), 0, MIN(S7, T7, U7, S8, U8, S9, T9, U9) + 1)))</f>
        <v>999</v>
      </c>
      <c r="U8">
        <f>IF(Sheet1!$AG$1=1, IF(AND(COLUMN()-1=Sheet1!$AF$4, 32-ROW()=Sheet1!$AG$4), 0, 999), IF(COUNTIFS(Sheet1!$AK$1:$AK$50, COLUMN()-1, Sheet1!$AL$1:$AL$50, 32-ROW())&gt;0, 999, IF(AND(COLUMN()-1=Sheet1!$AF$4, 32-ROW()=Sheet1!$AG$4), 0, MIN(T7, U7, V7, T8, V8, T9, U9, V9) + 1)))</f>
        <v>999</v>
      </c>
      <c r="V8">
        <f>IF(Sheet1!$AG$1=1, IF(AND(COLUMN()-1=Sheet1!$AF$4, 32-ROW()=Sheet1!$AG$4), 0, 999), IF(COUNTIFS(Sheet1!$AK$1:$AK$50, COLUMN()-1, Sheet1!$AL$1:$AL$50, 32-ROW())&gt;0, 999, IF(AND(COLUMN()-1=Sheet1!$AF$4, 32-ROW()=Sheet1!$AG$4), 0, MIN(U7, V7, W7, U8, W8, U9, V9, W9) + 1)))</f>
        <v>999</v>
      </c>
      <c r="W8">
        <f>IF(Sheet1!$AG$1=1, IF(AND(COLUMN()-1=Sheet1!$AF$4, 32-ROW()=Sheet1!$AG$4), 0, 999), IF(COUNTIFS(Sheet1!$AK$1:$AK$50, COLUMN()-1, Sheet1!$AL$1:$AL$50, 32-ROW())&gt;0, 999, IF(AND(COLUMN()-1=Sheet1!$AF$4, 32-ROW()=Sheet1!$AG$4), 0, MIN(V7, W7, X7, V8, X8, V9, W9, X9) + 1)))</f>
        <v>999</v>
      </c>
      <c r="X8">
        <f>IF(Sheet1!$AG$1=1, IF(AND(COLUMN()-1=Sheet1!$AF$4, 32-ROW()=Sheet1!$AG$4), 0, 999), IF(COUNTIFS(Sheet1!$AK$1:$AK$50, COLUMN()-1, Sheet1!$AL$1:$AL$50, 32-ROW())&gt;0, 999, IF(AND(COLUMN()-1=Sheet1!$AF$4, 32-ROW()=Sheet1!$AG$4), 0, MIN(W7, X7, Y7, W8, Y8, W9, X9, Y9) + 1)))</f>
        <v>999</v>
      </c>
      <c r="Y8">
        <f>IF(Sheet1!$AG$1=1, IF(AND(COLUMN()-1=Sheet1!$AF$4, 32-ROW()=Sheet1!$AG$4), 0, 999), IF(COUNTIFS(Sheet1!$AK$1:$AK$50, COLUMN()-1, Sheet1!$AL$1:$AL$50, 32-ROW())&gt;0, 999, IF(AND(COLUMN()-1=Sheet1!$AF$4, 32-ROW()=Sheet1!$AG$4), 0, MIN(X7, Y7, Z7, X8, Z8, X9, Y9, Z9) + 1)))</f>
        <v>999</v>
      </c>
      <c r="Z8">
        <f>IF(Sheet1!$AG$1=1, IF(AND(COLUMN()-1=Sheet1!$AF$4, 32-ROW()=Sheet1!$AG$4), 0, 999), IF(COUNTIFS(Sheet1!$AK$1:$AK$50, COLUMN()-1, Sheet1!$AL$1:$AL$50, 32-ROW())&gt;0, 999, IF(AND(COLUMN()-1=Sheet1!$AF$4, 32-ROW()=Sheet1!$AG$4), 0, MIN(Y7, Z7, AA7, Y8, AA8, Y9, Z9, AA9) + 1)))</f>
        <v>999</v>
      </c>
      <c r="AA8">
        <f>IF(Sheet1!$AG$1=1, IF(AND(COLUMN()-1=Sheet1!$AF$4, 32-ROW()=Sheet1!$AG$4), 0, 999), IF(COUNTIFS(Sheet1!$AK$1:$AK$50, COLUMN()-1, Sheet1!$AL$1:$AL$50, 32-ROW())&gt;0, 999, IF(AND(COLUMN()-1=Sheet1!$AF$4, 32-ROW()=Sheet1!$AG$4), 0, MIN(Z7, AA7, AB7, Z8, AB8, Z9, AA9, AB9) + 1)))</f>
        <v>999</v>
      </c>
      <c r="AB8">
        <f>IF(Sheet1!$AG$1=1, IF(AND(COLUMN()-1=Sheet1!$AF$4, 32-ROW()=Sheet1!$AG$4), 0, 999), IF(COUNTIFS(Sheet1!$AK$1:$AK$50, COLUMN()-1, Sheet1!$AL$1:$AL$50, 32-ROW())&gt;0, 999, IF(AND(COLUMN()-1=Sheet1!$AF$4, 32-ROW()=Sheet1!$AG$4), 0, MIN(AA7, AB7, AC7, AA8, AC8, AA9, AB9, AC9) + 1)))</f>
        <v>999</v>
      </c>
      <c r="AC8">
        <f>IF(Sheet1!$AG$1=1, IF(AND(COLUMN()-1=Sheet1!$AF$4, 32-ROW()=Sheet1!$AG$4), 0, 999), IF(COUNTIFS(Sheet1!$AK$1:$AK$50, COLUMN()-1, Sheet1!$AL$1:$AL$50, 32-ROW())&gt;0, 999, IF(AND(COLUMN()-1=Sheet1!$AF$4, 32-ROW()=Sheet1!$AG$4), 0, MIN(AB7, AC7, AD7, AB8, AD8, AB9, AC9, AD9) + 1)))</f>
        <v>999</v>
      </c>
      <c r="AD8">
        <f>IF(Sheet1!$AG$1=1, IF(AND(COLUMN()-1=Sheet1!$AF$4, 32-ROW()=Sheet1!$AG$4), 0, 999), IF(COUNTIFS(Sheet1!$AK$1:$AK$50, COLUMN()-1, Sheet1!$AL$1:$AL$50, 32-ROW())&gt;0, 999, IF(AND(COLUMN()-1=Sheet1!$AF$4, 32-ROW()=Sheet1!$AG$4), 0, MIN(AC7, AD7, AE7, AC8, AE8, AC9, AD9, AE9) + 1)))</f>
        <v>999</v>
      </c>
      <c r="AE8">
        <f>IF(Sheet1!$AG$1=1, IF(AND(COLUMN()-1=Sheet1!$AF$4, 32-ROW()=Sheet1!$AG$4), 0, 999), IF(COUNTIFS(Sheet1!$AK$1:$AK$50, COLUMN()-1, Sheet1!$AL$1:$AL$50, 32-ROW())&gt;0, 999, IF(AND(COLUMN()-1=Sheet1!$AF$4, 32-ROW()=Sheet1!$AG$4), 0, MIN(AD7, AE7, AF7, AD8, AF8, AD9, AE9, AF9) + 1)))</f>
        <v>999</v>
      </c>
      <c r="AF8">
        <v>999</v>
      </c>
    </row>
    <row r="9" spans="1:32">
      <c r="A9">
        <v>999</v>
      </c>
      <c r="B9">
        <f>IF(Sheet1!$AG$1=1, IF(AND(COLUMN()-1=Sheet1!$AF$4, 32-ROW()=Sheet1!$AG$4), 0, 999), IF(COUNTIFS(Sheet1!$AK$1:$AK$50, COLUMN()-1, Sheet1!$AL$1:$AL$50, 32-ROW())&gt;0, 999, IF(AND(COLUMN()-1=Sheet1!$AF$4, 32-ROW()=Sheet1!$AG$4), 0, MIN(A8, B8, C8, A9, C9, A10, B10, C10) + 1)))</f>
        <v>999</v>
      </c>
      <c r="C9">
        <f>IF(Sheet1!$AG$1=1, IF(AND(COLUMN()-1=Sheet1!$AF$4, 32-ROW()=Sheet1!$AG$4), 0, 999), IF(COUNTIFS(Sheet1!$AK$1:$AK$50, COLUMN()-1, Sheet1!$AL$1:$AL$50, 32-ROW())&gt;0, 999, IF(AND(COLUMN()-1=Sheet1!$AF$4, 32-ROW()=Sheet1!$AG$4), 0, MIN(B8, C8, D8, B9, D9, B10, C10, D10) + 1)))</f>
        <v>999</v>
      </c>
      <c r="D9">
        <f>IF(Sheet1!$AG$1=1, IF(AND(COLUMN()-1=Sheet1!$AF$4, 32-ROW()=Sheet1!$AG$4), 0, 999), IF(COUNTIFS(Sheet1!$AK$1:$AK$50, COLUMN()-1, Sheet1!$AL$1:$AL$50, 32-ROW())&gt;0, 999, IF(AND(COLUMN()-1=Sheet1!$AF$4, 32-ROW()=Sheet1!$AG$4), 0, MIN(C8, D8, E8, C9, E9, C10, D10, E10) + 1)))</f>
        <v>999</v>
      </c>
      <c r="E9">
        <f>IF(Sheet1!$AG$1=1, IF(AND(COLUMN()-1=Sheet1!$AF$4, 32-ROW()=Sheet1!$AG$4), 0, 999), IF(COUNTIFS(Sheet1!$AK$1:$AK$50, COLUMN()-1, Sheet1!$AL$1:$AL$50, 32-ROW())&gt;0, 999, IF(AND(COLUMN()-1=Sheet1!$AF$4, 32-ROW()=Sheet1!$AG$4), 0, MIN(D8, E8, F8, D9, F9, D10, E10, F10) + 1)))</f>
        <v>999</v>
      </c>
      <c r="F9">
        <f>IF(Sheet1!$AG$1=1, IF(AND(COLUMN()-1=Sheet1!$AF$4, 32-ROW()=Sheet1!$AG$4), 0, 999), IF(COUNTIFS(Sheet1!$AK$1:$AK$50, COLUMN()-1, Sheet1!$AL$1:$AL$50, 32-ROW())&gt;0, 999, IF(AND(COLUMN()-1=Sheet1!$AF$4, 32-ROW()=Sheet1!$AG$4), 0, MIN(E8, F8, G8, E9, G9, E10, F10, G10) + 1)))</f>
        <v>999</v>
      </c>
      <c r="G9">
        <f>IF(Sheet1!$AG$1=1, IF(AND(COLUMN()-1=Sheet1!$AF$4, 32-ROW()=Sheet1!$AG$4), 0, 999), IF(COUNTIFS(Sheet1!$AK$1:$AK$50, COLUMN()-1, Sheet1!$AL$1:$AL$50, 32-ROW())&gt;0, 999, IF(AND(COLUMN()-1=Sheet1!$AF$4, 32-ROW()=Sheet1!$AG$4), 0, MIN(F8, G8, H8, F9, H9, F10, G10, H10) + 1)))</f>
        <v>999</v>
      </c>
      <c r="H9">
        <f>IF(Sheet1!$AG$1=1, IF(AND(COLUMN()-1=Sheet1!$AF$4, 32-ROW()=Sheet1!$AG$4), 0, 999), IF(COUNTIFS(Sheet1!$AK$1:$AK$50, COLUMN()-1, Sheet1!$AL$1:$AL$50, 32-ROW())&gt;0, 999, IF(AND(COLUMN()-1=Sheet1!$AF$4, 32-ROW()=Sheet1!$AG$4), 0, MIN(G8, H8, I8, G9, I9, G10, H10, I10) + 1)))</f>
        <v>999</v>
      </c>
      <c r="I9">
        <f>IF(Sheet1!$AG$1=1, IF(AND(COLUMN()-1=Sheet1!$AF$4, 32-ROW()=Sheet1!$AG$4), 0, 999), IF(COUNTIFS(Sheet1!$AK$1:$AK$50, COLUMN()-1, Sheet1!$AL$1:$AL$50, 32-ROW())&gt;0, 999, IF(AND(COLUMN()-1=Sheet1!$AF$4, 32-ROW()=Sheet1!$AG$4), 0, MIN(H8, I8, J8, H9, J9, H10, I10, J10) + 1)))</f>
        <v>999</v>
      </c>
      <c r="J9">
        <f>IF(Sheet1!$AG$1=1, IF(AND(COLUMN()-1=Sheet1!$AF$4, 32-ROW()=Sheet1!$AG$4), 0, 999), IF(COUNTIFS(Sheet1!$AK$1:$AK$50, COLUMN()-1, Sheet1!$AL$1:$AL$50, 32-ROW())&gt;0, 999, IF(AND(COLUMN()-1=Sheet1!$AF$4, 32-ROW()=Sheet1!$AG$4), 0, MIN(I8, J8, K8, I9, K9, I10, J10, K10) + 1)))</f>
        <v>999</v>
      </c>
      <c r="K9">
        <f>IF(Sheet1!$AG$1=1, IF(AND(COLUMN()-1=Sheet1!$AF$4, 32-ROW()=Sheet1!$AG$4), 0, 999), IF(COUNTIFS(Sheet1!$AK$1:$AK$50, COLUMN()-1, Sheet1!$AL$1:$AL$50, 32-ROW())&gt;0, 999, IF(AND(COLUMN()-1=Sheet1!$AF$4, 32-ROW()=Sheet1!$AG$4), 0, MIN(J8, K8, L8, J9, L9, J10, K10, L10) + 1)))</f>
        <v>999</v>
      </c>
      <c r="L9">
        <f>IF(Sheet1!$AG$1=1, IF(AND(COLUMN()-1=Sheet1!$AF$4, 32-ROW()=Sheet1!$AG$4), 0, 999), IF(COUNTIFS(Sheet1!$AK$1:$AK$50, COLUMN()-1, Sheet1!$AL$1:$AL$50, 32-ROW())&gt;0, 999, IF(AND(COLUMN()-1=Sheet1!$AF$4, 32-ROW()=Sheet1!$AG$4), 0, MIN(K8, L8, M8, K9, M9, K10, L10, M10) + 1)))</f>
        <v>999</v>
      </c>
      <c r="M9">
        <f>IF(Sheet1!$AG$1=1, IF(AND(COLUMN()-1=Sheet1!$AF$4, 32-ROW()=Sheet1!$AG$4), 0, 999), IF(COUNTIFS(Sheet1!$AK$1:$AK$50, COLUMN()-1, Sheet1!$AL$1:$AL$50, 32-ROW())&gt;0, 999, IF(AND(COLUMN()-1=Sheet1!$AF$4, 32-ROW()=Sheet1!$AG$4), 0, MIN(L8, M8, N8, L9, N9, L10, M10, N10) + 1)))</f>
        <v>999</v>
      </c>
      <c r="N9">
        <f>IF(Sheet1!$AG$1=1, IF(AND(COLUMN()-1=Sheet1!$AF$4, 32-ROW()=Sheet1!$AG$4), 0, 999), IF(COUNTIFS(Sheet1!$AK$1:$AK$50, COLUMN()-1, Sheet1!$AL$1:$AL$50, 32-ROW())&gt;0, 999, IF(AND(COLUMN()-1=Sheet1!$AF$4, 32-ROW()=Sheet1!$AG$4), 0, MIN(M8, N8, O8, M9, O9, M10, N10, O10) + 1)))</f>
        <v>999</v>
      </c>
      <c r="O9">
        <f>IF(Sheet1!$AG$1=1, IF(AND(COLUMN()-1=Sheet1!$AF$4, 32-ROW()=Sheet1!$AG$4), 0, 999), IF(COUNTIFS(Sheet1!$AK$1:$AK$50, COLUMN()-1, Sheet1!$AL$1:$AL$50, 32-ROW())&gt;0, 999, IF(AND(COLUMN()-1=Sheet1!$AF$4, 32-ROW()=Sheet1!$AG$4), 0, MIN(N8, O8, P8, N9, P9, N10, O10, P10) + 1)))</f>
        <v>999</v>
      </c>
      <c r="P9">
        <f>IF(Sheet1!$AG$1=1, IF(AND(COLUMN()-1=Sheet1!$AF$4, 32-ROW()=Sheet1!$AG$4), 0, 999), IF(COUNTIFS(Sheet1!$AK$1:$AK$50, COLUMN()-1, Sheet1!$AL$1:$AL$50, 32-ROW())&gt;0, 999, IF(AND(COLUMN()-1=Sheet1!$AF$4, 32-ROW()=Sheet1!$AG$4), 0, MIN(O8, P8, Q8, O9, Q9, O10, P10, Q10) + 1)))</f>
        <v>999</v>
      </c>
      <c r="Q9">
        <f>IF(Sheet1!$AG$1=1, IF(AND(COLUMN()-1=Sheet1!$AF$4, 32-ROW()=Sheet1!$AG$4), 0, 999), IF(COUNTIFS(Sheet1!$AK$1:$AK$50, COLUMN()-1, Sheet1!$AL$1:$AL$50, 32-ROW())&gt;0, 999, IF(AND(COLUMN()-1=Sheet1!$AF$4, 32-ROW()=Sheet1!$AG$4), 0, MIN(P8, Q8, R8, P9, R9, P10, Q10, R10) + 1)))</f>
        <v>999</v>
      </c>
      <c r="R9">
        <f>IF(Sheet1!$AG$1=1, IF(AND(COLUMN()-1=Sheet1!$AF$4, 32-ROW()=Sheet1!$AG$4), 0, 999), IF(COUNTIFS(Sheet1!$AK$1:$AK$50, COLUMN()-1, Sheet1!$AL$1:$AL$50, 32-ROW())&gt;0, 999, IF(AND(COLUMN()-1=Sheet1!$AF$4, 32-ROW()=Sheet1!$AG$4), 0, MIN(Q8, R8, S8, Q9, S9, Q10, R10, S10) + 1)))</f>
        <v>999</v>
      </c>
      <c r="S9">
        <f>IF(Sheet1!$AG$1=1, IF(AND(COLUMN()-1=Sheet1!$AF$4, 32-ROW()=Sheet1!$AG$4), 0, 999), IF(COUNTIFS(Sheet1!$AK$1:$AK$50, COLUMN()-1, Sheet1!$AL$1:$AL$50, 32-ROW())&gt;0, 999, IF(AND(COLUMN()-1=Sheet1!$AF$4, 32-ROW()=Sheet1!$AG$4), 0, MIN(R8, S8, T8, R9, T9, R10, S10, T10) + 1)))</f>
        <v>999</v>
      </c>
      <c r="T9">
        <f>IF(Sheet1!$AG$1=1, IF(AND(COLUMN()-1=Sheet1!$AF$4, 32-ROW()=Sheet1!$AG$4), 0, 999), IF(COUNTIFS(Sheet1!$AK$1:$AK$50, COLUMN()-1, Sheet1!$AL$1:$AL$50, 32-ROW())&gt;0, 999, IF(AND(COLUMN()-1=Sheet1!$AF$4, 32-ROW()=Sheet1!$AG$4), 0, MIN(S8, T8, U8, S9, U9, S10, T10, U10) + 1)))</f>
        <v>999</v>
      </c>
      <c r="U9">
        <f>IF(Sheet1!$AG$1=1, IF(AND(COLUMN()-1=Sheet1!$AF$4, 32-ROW()=Sheet1!$AG$4), 0, 999), IF(COUNTIFS(Sheet1!$AK$1:$AK$50, COLUMN()-1, Sheet1!$AL$1:$AL$50, 32-ROW())&gt;0, 999, IF(AND(COLUMN()-1=Sheet1!$AF$4, 32-ROW()=Sheet1!$AG$4), 0, MIN(T8, U8, V8, T9, V9, T10, U10, V10) + 1)))</f>
        <v>999</v>
      </c>
      <c r="V9">
        <f>IF(Sheet1!$AG$1=1, IF(AND(COLUMN()-1=Sheet1!$AF$4, 32-ROW()=Sheet1!$AG$4), 0, 999), IF(COUNTIFS(Sheet1!$AK$1:$AK$50, COLUMN()-1, Sheet1!$AL$1:$AL$50, 32-ROW())&gt;0, 999, IF(AND(COLUMN()-1=Sheet1!$AF$4, 32-ROW()=Sheet1!$AG$4), 0, MIN(U8, V8, W8, U9, W9, U10, V10, W10) + 1)))</f>
        <v>999</v>
      </c>
      <c r="W9">
        <f>IF(Sheet1!$AG$1=1, IF(AND(COLUMN()-1=Sheet1!$AF$4, 32-ROW()=Sheet1!$AG$4), 0, 999), IF(COUNTIFS(Sheet1!$AK$1:$AK$50, COLUMN()-1, Sheet1!$AL$1:$AL$50, 32-ROW())&gt;0, 999, IF(AND(COLUMN()-1=Sheet1!$AF$4, 32-ROW()=Sheet1!$AG$4), 0, MIN(V8, W8, X8, V9, X9, V10, W10, X10) + 1)))</f>
        <v>999</v>
      </c>
      <c r="X9">
        <f>IF(Sheet1!$AG$1=1, IF(AND(COLUMN()-1=Sheet1!$AF$4, 32-ROW()=Sheet1!$AG$4), 0, 999), IF(COUNTIFS(Sheet1!$AK$1:$AK$50, COLUMN()-1, Sheet1!$AL$1:$AL$50, 32-ROW())&gt;0, 999, IF(AND(COLUMN()-1=Sheet1!$AF$4, 32-ROW()=Sheet1!$AG$4), 0, MIN(W8, X8, Y8, W9, Y9, W10, X10, Y10) + 1)))</f>
        <v>999</v>
      </c>
      <c r="Y9">
        <f>IF(Sheet1!$AG$1=1, IF(AND(COLUMN()-1=Sheet1!$AF$4, 32-ROW()=Sheet1!$AG$4), 0, 999), IF(COUNTIFS(Sheet1!$AK$1:$AK$50, COLUMN()-1, Sheet1!$AL$1:$AL$50, 32-ROW())&gt;0, 999, IF(AND(COLUMN()-1=Sheet1!$AF$4, 32-ROW()=Sheet1!$AG$4), 0, MIN(X8, Y8, Z8, X9, Z9, X10, Y10, Z10) + 1)))</f>
        <v>999</v>
      </c>
      <c r="Z9">
        <f>IF(Sheet1!$AG$1=1, IF(AND(COLUMN()-1=Sheet1!$AF$4, 32-ROW()=Sheet1!$AG$4), 0, 999), IF(COUNTIFS(Sheet1!$AK$1:$AK$50, COLUMN()-1, Sheet1!$AL$1:$AL$50, 32-ROW())&gt;0, 999, IF(AND(COLUMN()-1=Sheet1!$AF$4, 32-ROW()=Sheet1!$AG$4), 0, MIN(Y8, Z8, AA8, Y9, AA9, Y10, Z10, AA10) + 1)))</f>
        <v>999</v>
      </c>
      <c r="AA9">
        <f>IF(Sheet1!$AG$1=1, IF(AND(COLUMN()-1=Sheet1!$AF$4, 32-ROW()=Sheet1!$AG$4), 0, 999), IF(COUNTIFS(Sheet1!$AK$1:$AK$50, COLUMN()-1, Sheet1!$AL$1:$AL$50, 32-ROW())&gt;0, 999, IF(AND(COLUMN()-1=Sheet1!$AF$4, 32-ROW()=Sheet1!$AG$4), 0, MIN(Z8, AA8, AB8, Z9, AB9, Z10, AA10, AB10) + 1)))</f>
        <v>999</v>
      </c>
      <c r="AB9">
        <f>IF(Sheet1!$AG$1=1, IF(AND(COLUMN()-1=Sheet1!$AF$4, 32-ROW()=Sheet1!$AG$4), 0, 999), IF(COUNTIFS(Sheet1!$AK$1:$AK$50, COLUMN()-1, Sheet1!$AL$1:$AL$50, 32-ROW())&gt;0, 999, IF(AND(COLUMN()-1=Sheet1!$AF$4, 32-ROW()=Sheet1!$AG$4), 0, MIN(AA8, AB8, AC8, AA9, AC9, AA10, AB10, AC10) + 1)))</f>
        <v>999</v>
      </c>
      <c r="AC9">
        <f>IF(Sheet1!$AG$1=1, IF(AND(COLUMN()-1=Sheet1!$AF$4, 32-ROW()=Sheet1!$AG$4), 0, 999), IF(COUNTIFS(Sheet1!$AK$1:$AK$50, COLUMN()-1, Sheet1!$AL$1:$AL$50, 32-ROW())&gt;0, 999, IF(AND(COLUMN()-1=Sheet1!$AF$4, 32-ROW()=Sheet1!$AG$4), 0, MIN(AB8, AC8, AD8, AB9, AD9, AB10, AC10, AD10) + 1)))</f>
        <v>999</v>
      </c>
      <c r="AD9">
        <f>IF(Sheet1!$AG$1=1, IF(AND(COLUMN()-1=Sheet1!$AF$4, 32-ROW()=Sheet1!$AG$4), 0, 999), IF(COUNTIFS(Sheet1!$AK$1:$AK$50, COLUMN()-1, Sheet1!$AL$1:$AL$50, 32-ROW())&gt;0, 999, IF(AND(COLUMN()-1=Sheet1!$AF$4, 32-ROW()=Sheet1!$AG$4), 0, MIN(AC8, AD8, AE8, AC9, AE9, AC10, AD10, AE10) + 1)))</f>
        <v>999</v>
      </c>
      <c r="AE9">
        <f>IF(Sheet1!$AG$1=1, IF(AND(COLUMN()-1=Sheet1!$AF$4, 32-ROW()=Sheet1!$AG$4), 0, 999), IF(COUNTIFS(Sheet1!$AK$1:$AK$50, COLUMN()-1, Sheet1!$AL$1:$AL$50, 32-ROW())&gt;0, 999, IF(AND(COLUMN()-1=Sheet1!$AF$4, 32-ROW()=Sheet1!$AG$4), 0, MIN(AD8, AE8, AF8, AD9, AF9, AD10, AE10, AF10) + 1)))</f>
        <v>999</v>
      </c>
      <c r="AF9">
        <v>999</v>
      </c>
    </row>
    <row r="10" spans="1:32">
      <c r="A10">
        <v>999</v>
      </c>
      <c r="B10">
        <f>IF(Sheet1!$AG$1=1, IF(AND(COLUMN()-1=Sheet1!$AF$4, 32-ROW()=Sheet1!$AG$4), 0, 999), IF(COUNTIFS(Sheet1!$AK$1:$AK$50, COLUMN()-1, Sheet1!$AL$1:$AL$50, 32-ROW())&gt;0, 999, IF(AND(COLUMN()-1=Sheet1!$AF$4, 32-ROW()=Sheet1!$AG$4), 0, MIN(A9, B9, C9, A10, C10, A11, B11, C11) + 1)))</f>
        <v>999</v>
      </c>
      <c r="C10">
        <f>IF(Sheet1!$AG$1=1, IF(AND(COLUMN()-1=Sheet1!$AF$4, 32-ROW()=Sheet1!$AG$4), 0, 999), IF(COUNTIFS(Sheet1!$AK$1:$AK$50, COLUMN()-1, Sheet1!$AL$1:$AL$50, 32-ROW())&gt;0, 999, IF(AND(COLUMN()-1=Sheet1!$AF$4, 32-ROW()=Sheet1!$AG$4), 0, MIN(B9, C9, D9, B10, D10, B11, C11, D11) + 1)))</f>
        <v>999</v>
      </c>
      <c r="D10">
        <f>IF(Sheet1!$AG$1=1, IF(AND(COLUMN()-1=Sheet1!$AF$4, 32-ROW()=Sheet1!$AG$4), 0, 999), IF(COUNTIFS(Sheet1!$AK$1:$AK$50, COLUMN()-1, Sheet1!$AL$1:$AL$50, 32-ROW())&gt;0, 999, IF(AND(COLUMN()-1=Sheet1!$AF$4, 32-ROW()=Sheet1!$AG$4), 0, MIN(C9, D9, E9, C10, E10, C11, D11, E11) + 1)))</f>
        <v>999</v>
      </c>
      <c r="E10">
        <f>IF(Sheet1!$AG$1=1, IF(AND(COLUMN()-1=Sheet1!$AF$4, 32-ROW()=Sheet1!$AG$4), 0, 999), IF(COUNTIFS(Sheet1!$AK$1:$AK$50, COLUMN()-1, Sheet1!$AL$1:$AL$50, 32-ROW())&gt;0, 999, IF(AND(COLUMN()-1=Sheet1!$AF$4, 32-ROW()=Sheet1!$AG$4), 0, MIN(D9, E9, F9, D10, F10, D11, E11, F11) + 1)))</f>
        <v>999</v>
      </c>
      <c r="F10">
        <f>IF(Sheet1!$AG$1=1, IF(AND(COLUMN()-1=Sheet1!$AF$4, 32-ROW()=Sheet1!$AG$4), 0, 999), IF(COUNTIFS(Sheet1!$AK$1:$AK$50, COLUMN()-1, Sheet1!$AL$1:$AL$50, 32-ROW())&gt;0, 999, IF(AND(COLUMN()-1=Sheet1!$AF$4, 32-ROW()=Sheet1!$AG$4), 0, MIN(E9, F9, G9, E10, G10, E11, F11, G11) + 1)))</f>
        <v>999</v>
      </c>
      <c r="G10">
        <f>IF(Sheet1!$AG$1=1, IF(AND(COLUMN()-1=Sheet1!$AF$4, 32-ROW()=Sheet1!$AG$4), 0, 999), IF(COUNTIFS(Sheet1!$AK$1:$AK$50, COLUMN()-1, Sheet1!$AL$1:$AL$50, 32-ROW())&gt;0, 999, IF(AND(COLUMN()-1=Sheet1!$AF$4, 32-ROW()=Sheet1!$AG$4), 0, MIN(F9, G9, H9, F10, H10, F11, G11, H11) + 1)))</f>
        <v>999</v>
      </c>
      <c r="H10">
        <f>IF(Sheet1!$AG$1=1, IF(AND(COLUMN()-1=Sheet1!$AF$4, 32-ROW()=Sheet1!$AG$4), 0, 999), IF(COUNTIFS(Sheet1!$AK$1:$AK$50, COLUMN()-1, Sheet1!$AL$1:$AL$50, 32-ROW())&gt;0, 999, IF(AND(COLUMN()-1=Sheet1!$AF$4, 32-ROW()=Sheet1!$AG$4), 0, MIN(G9, H9, I9, G10, I10, G11, H11, I11) + 1)))</f>
        <v>999</v>
      </c>
      <c r="I10">
        <f>IF(Sheet1!$AG$1=1, IF(AND(COLUMN()-1=Sheet1!$AF$4, 32-ROW()=Sheet1!$AG$4), 0, 999), IF(COUNTIFS(Sheet1!$AK$1:$AK$50, COLUMN()-1, Sheet1!$AL$1:$AL$50, 32-ROW())&gt;0, 999, IF(AND(COLUMN()-1=Sheet1!$AF$4, 32-ROW()=Sheet1!$AG$4), 0, MIN(H9, I9, J9, H10, J10, H11, I11, J11) + 1)))</f>
        <v>999</v>
      </c>
      <c r="J10">
        <f>IF(Sheet1!$AG$1=1, IF(AND(COLUMN()-1=Sheet1!$AF$4, 32-ROW()=Sheet1!$AG$4), 0, 999), IF(COUNTIFS(Sheet1!$AK$1:$AK$50, COLUMN()-1, Sheet1!$AL$1:$AL$50, 32-ROW())&gt;0, 999, IF(AND(COLUMN()-1=Sheet1!$AF$4, 32-ROW()=Sheet1!$AG$4), 0, MIN(I9, J9, K9, I10, K10, I11, J11, K11) + 1)))</f>
        <v>999</v>
      </c>
      <c r="K10">
        <f>IF(Sheet1!$AG$1=1, IF(AND(COLUMN()-1=Sheet1!$AF$4, 32-ROW()=Sheet1!$AG$4), 0, 999), IF(COUNTIFS(Sheet1!$AK$1:$AK$50, COLUMN()-1, Sheet1!$AL$1:$AL$50, 32-ROW())&gt;0, 999, IF(AND(COLUMN()-1=Sheet1!$AF$4, 32-ROW()=Sheet1!$AG$4), 0, MIN(J9, K9, L9, J10, L10, J11, K11, L11) + 1)))</f>
        <v>999</v>
      </c>
      <c r="L10">
        <f>IF(Sheet1!$AG$1=1, IF(AND(COLUMN()-1=Sheet1!$AF$4, 32-ROW()=Sheet1!$AG$4), 0, 999), IF(COUNTIFS(Sheet1!$AK$1:$AK$50, COLUMN()-1, Sheet1!$AL$1:$AL$50, 32-ROW())&gt;0, 999, IF(AND(COLUMN()-1=Sheet1!$AF$4, 32-ROW()=Sheet1!$AG$4), 0, MIN(K9, L9, M9, K10, M10, K11, L11, M11) + 1)))</f>
        <v>999</v>
      </c>
      <c r="M10">
        <f>IF(Sheet1!$AG$1=1, IF(AND(COLUMN()-1=Sheet1!$AF$4, 32-ROW()=Sheet1!$AG$4), 0, 999), IF(COUNTIFS(Sheet1!$AK$1:$AK$50, COLUMN()-1, Sheet1!$AL$1:$AL$50, 32-ROW())&gt;0, 999, IF(AND(COLUMN()-1=Sheet1!$AF$4, 32-ROW()=Sheet1!$AG$4), 0, MIN(L9, M9, N9, L10, N10, L11, M11, N11) + 1)))</f>
        <v>999</v>
      </c>
      <c r="N10">
        <f>IF(Sheet1!$AG$1=1, IF(AND(COLUMN()-1=Sheet1!$AF$4, 32-ROW()=Sheet1!$AG$4), 0, 999), IF(COUNTIFS(Sheet1!$AK$1:$AK$50, COLUMN()-1, Sheet1!$AL$1:$AL$50, 32-ROW())&gt;0, 999, IF(AND(COLUMN()-1=Sheet1!$AF$4, 32-ROW()=Sheet1!$AG$4), 0, MIN(M9, N9, O9, M10, O10, M11, N11, O11) + 1)))</f>
        <v>999</v>
      </c>
      <c r="O10">
        <f>IF(Sheet1!$AG$1=1, IF(AND(COLUMN()-1=Sheet1!$AF$4, 32-ROW()=Sheet1!$AG$4), 0, 999), IF(COUNTIFS(Sheet1!$AK$1:$AK$50, COLUMN()-1, Sheet1!$AL$1:$AL$50, 32-ROW())&gt;0, 999, IF(AND(COLUMN()-1=Sheet1!$AF$4, 32-ROW()=Sheet1!$AG$4), 0, MIN(N9, O9, P9, N10, P10, N11, O11, P11) + 1)))</f>
        <v>999</v>
      </c>
      <c r="P10">
        <f>IF(Sheet1!$AG$1=1, IF(AND(COLUMN()-1=Sheet1!$AF$4, 32-ROW()=Sheet1!$AG$4), 0, 999), IF(COUNTIFS(Sheet1!$AK$1:$AK$50, COLUMN()-1, Sheet1!$AL$1:$AL$50, 32-ROW())&gt;0, 999, IF(AND(COLUMN()-1=Sheet1!$AF$4, 32-ROW()=Sheet1!$AG$4), 0, MIN(O9, P9, Q9, O10, Q10, O11, P11, Q11) + 1)))</f>
        <v>999</v>
      </c>
      <c r="Q10">
        <f>IF(Sheet1!$AG$1=1, IF(AND(COLUMN()-1=Sheet1!$AF$4, 32-ROW()=Sheet1!$AG$4), 0, 999), IF(COUNTIFS(Sheet1!$AK$1:$AK$50, COLUMN()-1, Sheet1!$AL$1:$AL$50, 32-ROW())&gt;0, 999, IF(AND(COLUMN()-1=Sheet1!$AF$4, 32-ROW()=Sheet1!$AG$4), 0, MIN(P9, Q9, R9, P10, R10, P11, Q11, R11) + 1)))</f>
        <v>999</v>
      </c>
      <c r="R10">
        <f>IF(Sheet1!$AG$1=1, IF(AND(COLUMN()-1=Sheet1!$AF$4, 32-ROW()=Sheet1!$AG$4), 0, 999), IF(COUNTIFS(Sheet1!$AK$1:$AK$50, COLUMN()-1, Sheet1!$AL$1:$AL$50, 32-ROW())&gt;0, 999, IF(AND(COLUMN()-1=Sheet1!$AF$4, 32-ROW()=Sheet1!$AG$4), 0, MIN(Q9, R9, S9, Q10, S10, Q11, R11, S11) + 1)))</f>
        <v>999</v>
      </c>
      <c r="S10">
        <f>IF(Sheet1!$AG$1=1, IF(AND(COLUMN()-1=Sheet1!$AF$4, 32-ROW()=Sheet1!$AG$4), 0, 999), IF(COUNTIFS(Sheet1!$AK$1:$AK$50, COLUMN()-1, Sheet1!$AL$1:$AL$50, 32-ROW())&gt;0, 999, IF(AND(COLUMN()-1=Sheet1!$AF$4, 32-ROW()=Sheet1!$AG$4), 0, MIN(R9, S9, T9, R10, T10, R11, S11, T11) + 1)))</f>
        <v>999</v>
      </c>
      <c r="T10">
        <f>IF(Sheet1!$AG$1=1, IF(AND(COLUMN()-1=Sheet1!$AF$4, 32-ROW()=Sheet1!$AG$4), 0, 999), IF(COUNTIFS(Sheet1!$AK$1:$AK$50, COLUMN()-1, Sheet1!$AL$1:$AL$50, 32-ROW())&gt;0, 999, IF(AND(COLUMN()-1=Sheet1!$AF$4, 32-ROW()=Sheet1!$AG$4), 0, MIN(S9, T9, U9, S10, U10, S11, T11, U11) + 1)))</f>
        <v>999</v>
      </c>
      <c r="U10">
        <f>IF(Sheet1!$AG$1=1, IF(AND(COLUMN()-1=Sheet1!$AF$4, 32-ROW()=Sheet1!$AG$4), 0, 999), IF(COUNTIFS(Sheet1!$AK$1:$AK$50, COLUMN()-1, Sheet1!$AL$1:$AL$50, 32-ROW())&gt;0, 999, IF(AND(COLUMN()-1=Sheet1!$AF$4, 32-ROW()=Sheet1!$AG$4), 0, MIN(T9, U9, V9, T10, V10, T11, U11, V11) + 1)))</f>
        <v>999</v>
      </c>
      <c r="V10">
        <f>IF(Sheet1!$AG$1=1, IF(AND(COLUMN()-1=Sheet1!$AF$4, 32-ROW()=Sheet1!$AG$4), 0, 999), IF(COUNTIFS(Sheet1!$AK$1:$AK$50, COLUMN()-1, Sheet1!$AL$1:$AL$50, 32-ROW())&gt;0, 999, IF(AND(COLUMN()-1=Sheet1!$AF$4, 32-ROW()=Sheet1!$AG$4), 0, MIN(U9, V9, W9, U10, W10, U11, V11, W11) + 1)))</f>
        <v>999</v>
      </c>
      <c r="W10">
        <f>IF(Sheet1!$AG$1=1, IF(AND(COLUMN()-1=Sheet1!$AF$4, 32-ROW()=Sheet1!$AG$4), 0, 999), IF(COUNTIFS(Sheet1!$AK$1:$AK$50, COLUMN()-1, Sheet1!$AL$1:$AL$50, 32-ROW())&gt;0, 999, IF(AND(COLUMN()-1=Sheet1!$AF$4, 32-ROW()=Sheet1!$AG$4), 0, MIN(V9, W9, X9, V10, X10, V11, W11, X11) + 1)))</f>
        <v>999</v>
      </c>
      <c r="X10">
        <f>IF(Sheet1!$AG$1=1, IF(AND(COLUMN()-1=Sheet1!$AF$4, 32-ROW()=Sheet1!$AG$4), 0, 999), IF(COUNTIFS(Sheet1!$AK$1:$AK$50, COLUMN()-1, Sheet1!$AL$1:$AL$50, 32-ROW())&gt;0, 999, IF(AND(COLUMN()-1=Sheet1!$AF$4, 32-ROW()=Sheet1!$AG$4), 0, MIN(W9, X9, Y9, W10, Y10, W11, X11, Y11) + 1)))</f>
        <v>999</v>
      </c>
      <c r="Y10">
        <f>IF(Sheet1!$AG$1=1, IF(AND(COLUMN()-1=Sheet1!$AF$4, 32-ROW()=Sheet1!$AG$4), 0, 999), IF(COUNTIFS(Sheet1!$AK$1:$AK$50, COLUMN()-1, Sheet1!$AL$1:$AL$50, 32-ROW())&gt;0, 999, IF(AND(COLUMN()-1=Sheet1!$AF$4, 32-ROW()=Sheet1!$AG$4), 0, MIN(X9, Y9, Z9, X10, Z10, X11, Y11, Z11) + 1)))</f>
        <v>999</v>
      </c>
      <c r="Z10">
        <f>IF(Sheet1!$AG$1=1, IF(AND(COLUMN()-1=Sheet1!$AF$4, 32-ROW()=Sheet1!$AG$4), 0, 999), IF(COUNTIFS(Sheet1!$AK$1:$AK$50, COLUMN()-1, Sheet1!$AL$1:$AL$50, 32-ROW())&gt;0, 999, IF(AND(COLUMN()-1=Sheet1!$AF$4, 32-ROW()=Sheet1!$AG$4), 0, MIN(Y9, Z9, AA9, Y10, AA10, Y11, Z11, AA11) + 1)))</f>
        <v>999</v>
      </c>
      <c r="AA10">
        <f>IF(Sheet1!$AG$1=1, IF(AND(COLUMN()-1=Sheet1!$AF$4, 32-ROW()=Sheet1!$AG$4), 0, 999), IF(COUNTIFS(Sheet1!$AK$1:$AK$50, COLUMN()-1, Sheet1!$AL$1:$AL$50, 32-ROW())&gt;0, 999, IF(AND(COLUMN()-1=Sheet1!$AF$4, 32-ROW()=Sheet1!$AG$4), 0, MIN(Z9, AA9, AB9, Z10, AB10, Z11, AA11, AB11) + 1)))</f>
        <v>999</v>
      </c>
      <c r="AB10">
        <f>IF(Sheet1!$AG$1=1, IF(AND(COLUMN()-1=Sheet1!$AF$4, 32-ROW()=Sheet1!$AG$4), 0, 999), IF(COUNTIFS(Sheet1!$AK$1:$AK$50, COLUMN()-1, Sheet1!$AL$1:$AL$50, 32-ROW())&gt;0, 999, IF(AND(COLUMN()-1=Sheet1!$AF$4, 32-ROW()=Sheet1!$AG$4), 0, MIN(AA9, AB9, AC9, AA10, AC10, AA11, AB11, AC11) + 1)))</f>
        <v>999</v>
      </c>
      <c r="AC10">
        <f>IF(Sheet1!$AG$1=1, IF(AND(COLUMN()-1=Sheet1!$AF$4, 32-ROW()=Sheet1!$AG$4), 0, 999), IF(COUNTIFS(Sheet1!$AK$1:$AK$50, COLUMN()-1, Sheet1!$AL$1:$AL$50, 32-ROW())&gt;0, 999, IF(AND(COLUMN()-1=Sheet1!$AF$4, 32-ROW()=Sheet1!$AG$4), 0, MIN(AB9, AC9, AD9, AB10, AD10, AB11, AC11, AD11) + 1)))</f>
        <v>999</v>
      </c>
      <c r="AD10">
        <f>IF(Sheet1!$AG$1=1, IF(AND(COLUMN()-1=Sheet1!$AF$4, 32-ROW()=Sheet1!$AG$4), 0, 999), IF(COUNTIFS(Sheet1!$AK$1:$AK$50, COLUMN()-1, Sheet1!$AL$1:$AL$50, 32-ROW())&gt;0, 999, IF(AND(COLUMN()-1=Sheet1!$AF$4, 32-ROW()=Sheet1!$AG$4), 0, MIN(AC9, AD9, AE9, AC10, AE10, AC11, AD11, AE11) + 1)))</f>
        <v>999</v>
      </c>
      <c r="AE10">
        <f>IF(Sheet1!$AG$1=1, IF(AND(COLUMN()-1=Sheet1!$AF$4, 32-ROW()=Sheet1!$AG$4), 0, 999), IF(COUNTIFS(Sheet1!$AK$1:$AK$50, COLUMN()-1, Sheet1!$AL$1:$AL$50, 32-ROW())&gt;0, 999, IF(AND(COLUMN()-1=Sheet1!$AF$4, 32-ROW()=Sheet1!$AG$4), 0, MIN(AD9, AE9, AF9, AD10, AF10, AD11, AE11, AF11) + 1)))</f>
        <v>999</v>
      </c>
      <c r="AF10">
        <v>999</v>
      </c>
    </row>
    <row r="11" spans="1:32">
      <c r="A11">
        <v>999</v>
      </c>
      <c r="B11">
        <f>IF(Sheet1!$AG$1=1, IF(AND(COLUMN()-1=Sheet1!$AF$4, 32-ROW()=Sheet1!$AG$4), 0, 999), IF(COUNTIFS(Sheet1!$AK$1:$AK$50, COLUMN()-1, Sheet1!$AL$1:$AL$50, 32-ROW())&gt;0, 999, IF(AND(COLUMN()-1=Sheet1!$AF$4, 32-ROW()=Sheet1!$AG$4), 0, MIN(A10, B10, C10, A11, C11, A12, B12, C12) + 1)))</f>
        <v>999</v>
      </c>
      <c r="C11">
        <f>IF(Sheet1!$AG$1=1, IF(AND(COLUMN()-1=Sheet1!$AF$4, 32-ROW()=Sheet1!$AG$4), 0, 999), IF(COUNTIFS(Sheet1!$AK$1:$AK$50, COLUMN()-1, Sheet1!$AL$1:$AL$50, 32-ROW())&gt;0, 999, IF(AND(COLUMN()-1=Sheet1!$AF$4, 32-ROW()=Sheet1!$AG$4), 0, MIN(B10, C10, D10, B11, D11, B12, C12, D12) + 1)))</f>
        <v>999</v>
      </c>
      <c r="D11">
        <f>IF(Sheet1!$AG$1=1, IF(AND(COLUMN()-1=Sheet1!$AF$4, 32-ROW()=Sheet1!$AG$4), 0, 999), IF(COUNTIFS(Sheet1!$AK$1:$AK$50, COLUMN()-1, Sheet1!$AL$1:$AL$50, 32-ROW())&gt;0, 999, IF(AND(COLUMN()-1=Sheet1!$AF$4, 32-ROW()=Sheet1!$AG$4), 0, MIN(C10, D10, E10, C11, E11, C12, D12, E12) + 1)))</f>
        <v>999</v>
      </c>
      <c r="E11">
        <f>IF(Sheet1!$AG$1=1, IF(AND(COLUMN()-1=Sheet1!$AF$4, 32-ROW()=Sheet1!$AG$4), 0, 999), IF(COUNTIFS(Sheet1!$AK$1:$AK$50, COLUMN()-1, Sheet1!$AL$1:$AL$50, 32-ROW())&gt;0, 999, IF(AND(COLUMN()-1=Sheet1!$AF$4, 32-ROW()=Sheet1!$AG$4), 0, MIN(D10, E10, F10, D11, F11, D12, E12, F12) + 1)))</f>
        <v>999</v>
      </c>
      <c r="F11">
        <f>IF(Sheet1!$AG$1=1, IF(AND(COLUMN()-1=Sheet1!$AF$4, 32-ROW()=Sheet1!$AG$4), 0, 999), IF(COUNTIFS(Sheet1!$AK$1:$AK$50, COLUMN()-1, Sheet1!$AL$1:$AL$50, 32-ROW())&gt;0, 999, IF(AND(COLUMN()-1=Sheet1!$AF$4, 32-ROW()=Sheet1!$AG$4), 0, MIN(E10, F10, G10, E11, G11, E12, F12, G12) + 1)))</f>
        <v>999</v>
      </c>
      <c r="G11">
        <f>IF(Sheet1!$AG$1=1, IF(AND(COLUMN()-1=Sheet1!$AF$4, 32-ROW()=Sheet1!$AG$4), 0, 999), IF(COUNTIFS(Sheet1!$AK$1:$AK$50, COLUMN()-1, Sheet1!$AL$1:$AL$50, 32-ROW())&gt;0, 999, IF(AND(COLUMN()-1=Sheet1!$AF$4, 32-ROW()=Sheet1!$AG$4), 0, MIN(F10, G10, H10, F11, H11, F12, G12, H12) + 1)))</f>
        <v>999</v>
      </c>
      <c r="H11">
        <f>IF(Sheet1!$AG$1=1, IF(AND(COLUMN()-1=Sheet1!$AF$4, 32-ROW()=Sheet1!$AG$4), 0, 999), IF(COUNTIFS(Sheet1!$AK$1:$AK$50, COLUMN()-1, Sheet1!$AL$1:$AL$50, 32-ROW())&gt;0, 999, IF(AND(COLUMN()-1=Sheet1!$AF$4, 32-ROW()=Sheet1!$AG$4), 0, MIN(G10, H10, I10, G11, I11, G12, H12, I12) + 1)))</f>
        <v>999</v>
      </c>
      <c r="I11">
        <f>IF(Sheet1!$AG$1=1, IF(AND(COLUMN()-1=Sheet1!$AF$4, 32-ROW()=Sheet1!$AG$4), 0, 999), IF(COUNTIFS(Sheet1!$AK$1:$AK$50, COLUMN()-1, Sheet1!$AL$1:$AL$50, 32-ROW())&gt;0, 999, IF(AND(COLUMN()-1=Sheet1!$AF$4, 32-ROW()=Sheet1!$AG$4), 0, MIN(H10, I10, J10, H11, J11, H12, I12, J12) + 1)))</f>
        <v>999</v>
      </c>
      <c r="J11">
        <f>IF(Sheet1!$AG$1=1, IF(AND(COLUMN()-1=Sheet1!$AF$4, 32-ROW()=Sheet1!$AG$4), 0, 999), IF(COUNTIFS(Sheet1!$AK$1:$AK$50, COLUMN()-1, Sheet1!$AL$1:$AL$50, 32-ROW())&gt;0, 999, IF(AND(COLUMN()-1=Sheet1!$AF$4, 32-ROW()=Sheet1!$AG$4), 0, MIN(I10, J10, K10, I11, K11, I12, J12, K12) + 1)))</f>
        <v>999</v>
      </c>
      <c r="K11">
        <f>IF(Sheet1!$AG$1=1, IF(AND(COLUMN()-1=Sheet1!$AF$4, 32-ROW()=Sheet1!$AG$4), 0, 999), IF(COUNTIFS(Sheet1!$AK$1:$AK$50, COLUMN()-1, Sheet1!$AL$1:$AL$50, 32-ROW())&gt;0, 999, IF(AND(COLUMN()-1=Sheet1!$AF$4, 32-ROW()=Sheet1!$AG$4), 0, MIN(J10, K10, L10, J11, L11, J12, K12, L12) + 1)))</f>
        <v>999</v>
      </c>
      <c r="L11">
        <f>IF(Sheet1!$AG$1=1, IF(AND(COLUMN()-1=Sheet1!$AF$4, 32-ROW()=Sheet1!$AG$4), 0, 999), IF(COUNTIFS(Sheet1!$AK$1:$AK$50, COLUMN()-1, Sheet1!$AL$1:$AL$50, 32-ROW())&gt;0, 999, IF(AND(COLUMN()-1=Sheet1!$AF$4, 32-ROW()=Sheet1!$AG$4), 0, MIN(K10, L10, M10, K11, M11, K12, L12, M12) + 1)))</f>
        <v>999</v>
      </c>
      <c r="M11">
        <f>IF(Sheet1!$AG$1=1, IF(AND(COLUMN()-1=Sheet1!$AF$4, 32-ROW()=Sheet1!$AG$4), 0, 999), IF(COUNTIFS(Sheet1!$AK$1:$AK$50, COLUMN()-1, Sheet1!$AL$1:$AL$50, 32-ROW())&gt;0, 999, IF(AND(COLUMN()-1=Sheet1!$AF$4, 32-ROW()=Sheet1!$AG$4), 0, MIN(L10, M10, N10, L11, N11, L12, M12, N12) + 1)))</f>
        <v>999</v>
      </c>
      <c r="N11">
        <f>IF(Sheet1!$AG$1=1, IF(AND(COLUMN()-1=Sheet1!$AF$4, 32-ROW()=Sheet1!$AG$4), 0, 999), IF(COUNTIFS(Sheet1!$AK$1:$AK$50, COLUMN()-1, Sheet1!$AL$1:$AL$50, 32-ROW())&gt;0, 999, IF(AND(COLUMN()-1=Sheet1!$AF$4, 32-ROW()=Sheet1!$AG$4), 0, MIN(M10, N10, O10, M11, O11, M12, N12, O12) + 1)))</f>
        <v>999</v>
      </c>
      <c r="O11">
        <f>IF(Sheet1!$AG$1=1, IF(AND(COLUMN()-1=Sheet1!$AF$4, 32-ROW()=Sheet1!$AG$4), 0, 999), IF(COUNTIFS(Sheet1!$AK$1:$AK$50, COLUMN()-1, Sheet1!$AL$1:$AL$50, 32-ROW())&gt;0, 999, IF(AND(COLUMN()-1=Sheet1!$AF$4, 32-ROW()=Sheet1!$AG$4), 0, MIN(N10, O10, P10, N11, P11, N12, O12, P12) + 1)))</f>
        <v>999</v>
      </c>
      <c r="P11">
        <f>IF(Sheet1!$AG$1=1, IF(AND(COLUMN()-1=Sheet1!$AF$4, 32-ROW()=Sheet1!$AG$4), 0, 999), IF(COUNTIFS(Sheet1!$AK$1:$AK$50, COLUMN()-1, Sheet1!$AL$1:$AL$50, 32-ROW())&gt;0, 999, IF(AND(COLUMN()-1=Sheet1!$AF$4, 32-ROW()=Sheet1!$AG$4), 0, MIN(O10, P10, Q10, O11, Q11, O12, P12, Q12) + 1)))</f>
        <v>999</v>
      </c>
      <c r="Q11">
        <f>IF(Sheet1!$AG$1=1, IF(AND(COLUMN()-1=Sheet1!$AF$4, 32-ROW()=Sheet1!$AG$4), 0, 999), IF(COUNTIFS(Sheet1!$AK$1:$AK$50, COLUMN()-1, Sheet1!$AL$1:$AL$50, 32-ROW())&gt;0, 999, IF(AND(COLUMN()-1=Sheet1!$AF$4, 32-ROW()=Sheet1!$AG$4), 0, MIN(P10, Q10, R10, P11, R11, P12, Q12, R12) + 1)))</f>
        <v>999</v>
      </c>
      <c r="R11">
        <f>IF(Sheet1!$AG$1=1, IF(AND(COLUMN()-1=Sheet1!$AF$4, 32-ROW()=Sheet1!$AG$4), 0, 999), IF(COUNTIFS(Sheet1!$AK$1:$AK$50, COLUMN()-1, Sheet1!$AL$1:$AL$50, 32-ROW())&gt;0, 999, IF(AND(COLUMN()-1=Sheet1!$AF$4, 32-ROW()=Sheet1!$AG$4), 0, MIN(Q10, R10, S10, Q11, S11, Q12, R12, S12) + 1)))</f>
        <v>999</v>
      </c>
      <c r="S11">
        <f>IF(Sheet1!$AG$1=1, IF(AND(COLUMN()-1=Sheet1!$AF$4, 32-ROW()=Sheet1!$AG$4), 0, 999), IF(COUNTIFS(Sheet1!$AK$1:$AK$50, COLUMN()-1, Sheet1!$AL$1:$AL$50, 32-ROW())&gt;0, 999, IF(AND(COLUMN()-1=Sheet1!$AF$4, 32-ROW()=Sheet1!$AG$4), 0, MIN(R10, S10, T10, R11, T11, R12, S12, T12) + 1)))</f>
        <v>999</v>
      </c>
      <c r="T11">
        <f>IF(Sheet1!$AG$1=1, IF(AND(COLUMN()-1=Sheet1!$AF$4, 32-ROW()=Sheet1!$AG$4), 0, 999), IF(COUNTIFS(Sheet1!$AK$1:$AK$50, COLUMN()-1, Sheet1!$AL$1:$AL$50, 32-ROW())&gt;0, 999, IF(AND(COLUMN()-1=Sheet1!$AF$4, 32-ROW()=Sheet1!$AG$4), 0, MIN(S10, T10, U10, S11, U11, S12, T12, U12) + 1)))</f>
        <v>999</v>
      </c>
      <c r="U11">
        <f>IF(Sheet1!$AG$1=1, IF(AND(COLUMN()-1=Sheet1!$AF$4, 32-ROW()=Sheet1!$AG$4), 0, 999), IF(COUNTIFS(Sheet1!$AK$1:$AK$50, COLUMN()-1, Sheet1!$AL$1:$AL$50, 32-ROW())&gt;0, 999, IF(AND(COLUMN()-1=Sheet1!$AF$4, 32-ROW()=Sheet1!$AG$4), 0, MIN(T10, U10, V10, T11, V11, T12, U12, V12) + 1)))</f>
        <v>999</v>
      </c>
      <c r="V11">
        <f>IF(Sheet1!$AG$1=1, IF(AND(COLUMN()-1=Sheet1!$AF$4, 32-ROW()=Sheet1!$AG$4), 0, 999), IF(COUNTIFS(Sheet1!$AK$1:$AK$50, COLUMN()-1, Sheet1!$AL$1:$AL$50, 32-ROW())&gt;0, 999, IF(AND(COLUMN()-1=Sheet1!$AF$4, 32-ROW()=Sheet1!$AG$4), 0, MIN(U10, V10, W10, U11, W11, U12, V12, W12) + 1)))</f>
        <v>999</v>
      </c>
      <c r="W11">
        <f>IF(Sheet1!$AG$1=1, IF(AND(COLUMN()-1=Sheet1!$AF$4, 32-ROW()=Sheet1!$AG$4), 0, 999), IF(COUNTIFS(Sheet1!$AK$1:$AK$50, COLUMN()-1, Sheet1!$AL$1:$AL$50, 32-ROW())&gt;0, 999, IF(AND(COLUMN()-1=Sheet1!$AF$4, 32-ROW()=Sheet1!$AG$4), 0, MIN(V10, W10, X10, V11, X11, V12, W12, X12) + 1)))</f>
        <v>999</v>
      </c>
      <c r="X11">
        <f>IF(Sheet1!$AG$1=1, IF(AND(COLUMN()-1=Sheet1!$AF$4, 32-ROW()=Sheet1!$AG$4), 0, 999), IF(COUNTIFS(Sheet1!$AK$1:$AK$50, COLUMN()-1, Sheet1!$AL$1:$AL$50, 32-ROW())&gt;0, 999, IF(AND(COLUMN()-1=Sheet1!$AF$4, 32-ROW()=Sheet1!$AG$4), 0, MIN(W10, X10, Y10, W11, Y11, W12, X12, Y12) + 1)))</f>
        <v>999</v>
      </c>
      <c r="Y11">
        <f>IF(Sheet1!$AG$1=1, IF(AND(COLUMN()-1=Sheet1!$AF$4, 32-ROW()=Sheet1!$AG$4), 0, 999), IF(COUNTIFS(Sheet1!$AK$1:$AK$50, COLUMN()-1, Sheet1!$AL$1:$AL$50, 32-ROW())&gt;0, 999, IF(AND(COLUMN()-1=Sheet1!$AF$4, 32-ROW()=Sheet1!$AG$4), 0, MIN(X10, Y10, Z10, X11, Z11, X12, Y12, Z12) + 1)))</f>
        <v>999</v>
      </c>
      <c r="Z11">
        <f>IF(Sheet1!$AG$1=1, IF(AND(COLUMN()-1=Sheet1!$AF$4, 32-ROW()=Sheet1!$AG$4), 0, 999), IF(COUNTIFS(Sheet1!$AK$1:$AK$50, COLUMN()-1, Sheet1!$AL$1:$AL$50, 32-ROW())&gt;0, 999, IF(AND(COLUMN()-1=Sheet1!$AF$4, 32-ROW()=Sheet1!$AG$4), 0, MIN(Y10, Z10, AA10, Y11, AA11, Y12, Z12, AA12) + 1)))</f>
        <v>999</v>
      </c>
      <c r="AA11">
        <f>IF(Sheet1!$AG$1=1, IF(AND(COLUMN()-1=Sheet1!$AF$4, 32-ROW()=Sheet1!$AG$4), 0, 999), IF(COUNTIFS(Sheet1!$AK$1:$AK$50, COLUMN()-1, Sheet1!$AL$1:$AL$50, 32-ROW())&gt;0, 999, IF(AND(COLUMN()-1=Sheet1!$AF$4, 32-ROW()=Sheet1!$AG$4), 0, MIN(Z10, AA10, AB10, Z11, AB11, Z12, AA12, AB12) + 1)))</f>
        <v>999</v>
      </c>
      <c r="AB11">
        <f>IF(Sheet1!$AG$1=1, IF(AND(COLUMN()-1=Sheet1!$AF$4, 32-ROW()=Sheet1!$AG$4), 0, 999), IF(COUNTIFS(Sheet1!$AK$1:$AK$50, COLUMN()-1, Sheet1!$AL$1:$AL$50, 32-ROW())&gt;0, 999, IF(AND(COLUMN()-1=Sheet1!$AF$4, 32-ROW()=Sheet1!$AG$4), 0, MIN(AA10, AB10, AC10, AA11, AC11, AA12, AB12, AC12) + 1)))</f>
        <v>999</v>
      </c>
      <c r="AC11">
        <f>IF(Sheet1!$AG$1=1, IF(AND(COLUMN()-1=Sheet1!$AF$4, 32-ROW()=Sheet1!$AG$4), 0, 999), IF(COUNTIFS(Sheet1!$AK$1:$AK$50, COLUMN()-1, Sheet1!$AL$1:$AL$50, 32-ROW())&gt;0, 999, IF(AND(COLUMN()-1=Sheet1!$AF$4, 32-ROW()=Sheet1!$AG$4), 0, MIN(AB10, AC10, AD10, AB11, AD11, AB12, AC12, AD12) + 1)))</f>
        <v>999</v>
      </c>
      <c r="AD11">
        <f>IF(Sheet1!$AG$1=1, IF(AND(COLUMN()-1=Sheet1!$AF$4, 32-ROW()=Sheet1!$AG$4), 0, 999), IF(COUNTIFS(Sheet1!$AK$1:$AK$50, COLUMN()-1, Sheet1!$AL$1:$AL$50, 32-ROW())&gt;0, 999, IF(AND(COLUMN()-1=Sheet1!$AF$4, 32-ROW()=Sheet1!$AG$4), 0, MIN(AC10, AD10, AE10, AC11, AE11, AC12, AD12, AE12) + 1)))</f>
        <v>999</v>
      </c>
      <c r="AE11">
        <f>IF(Sheet1!$AG$1=1, IF(AND(COLUMN()-1=Sheet1!$AF$4, 32-ROW()=Sheet1!$AG$4), 0, 999), IF(COUNTIFS(Sheet1!$AK$1:$AK$50, COLUMN()-1, Sheet1!$AL$1:$AL$50, 32-ROW())&gt;0, 999, IF(AND(COLUMN()-1=Sheet1!$AF$4, 32-ROW()=Sheet1!$AG$4), 0, MIN(AD10, AE10, AF10, AD11, AF11, AD12, AE12, AF12) + 1)))</f>
        <v>999</v>
      </c>
      <c r="AF11">
        <v>999</v>
      </c>
    </row>
    <row r="12" spans="1:32">
      <c r="A12">
        <v>999</v>
      </c>
      <c r="B12">
        <f>IF(Sheet1!$AG$1=1, IF(AND(COLUMN()-1=Sheet1!$AF$4, 32-ROW()=Sheet1!$AG$4), 0, 999), IF(COUNTIFS(Sheet1!$AK$1:$AK$50, COLUMN()-1, Sheet1!$AL$1:$AL$50, 32-ROW())&gt;0, 999, IF(AND(COLUMN()-1=Sheet1!$AF$4, 32-ROW()=Sheet1!$AG$4), 0, MIN(A11, B11, C11, A12, C12, A13, B13, C13) + 1)))</f>
        <v>999</v>
      </c>
      <c r="C12">
        <f>IF(Sheet1!$AG$1=1, IF(AND(COLUMN()-1=Sheet1!$AF$4, 32-ROW()=Sheet1!$AG$4), 0, 999), IF(COUNTIFS(Sheet1!$AK$1:$AK$50, COLUMN()-1, Sheet1!$AL$1:$AL$50, 32-ROW())&gt;0, 999, IF(AND(COLUMN()-1=Sheet1!$AF$4, 32-ROW()=Sheet1!$AG$4), 0, MIN(B11, C11, D11, B12, D12, B13, C13, D13) + 1)))</f>
        <v>999</v>
      </c>
      <c r="D12">
        <f>IF(Sheet1!$AG$1=1, IF(AND(COLUMN()-1=Sheet1!$AF$4, 32-ROW()=Sheet1!$AG$4), 0, 999), IF(COUNTIFS(Sheet1!$AK$1:$AK$50, COLUMN()-1, Sheet1!$AL$1:$AL$50, 32-ROW())&gt;0, 999, IF(AND(COLUMN()-1=Sheet1!$AF$4, 32-ROW()=Sheet1!$AG$4), 0, MIN(C11, D11, E11, C12, E12, C13, D13, E13) + 1)))</f>
        <v>999</v>
      </c>
      <c r="E12">
        <f>IF(Sheet1!$AG$1=1, IF(AND(COLUMN()-1=Sheet1!$AF$4, 32-ROW()=Sheet1!$AG$4), 0, 999), IF(COUNTIFS(Sheet1!$AK$1:$AK$50, COLUMN()-1, Sheet1!$AL$1:$AL$50, 32-ROW())&gt;0, 999, IF(AND(COLUMN()-1=Sheet1!$AF$4, 32-ROW()=Sheet1!$AG$4), 0, MIN(D11, E11, F11, D12, F12, D13, E13, F13) + 1)))</f>
        <v>999</v>
      </c>
      <c r="F12">
        <f>IF(Sheet1!$AG$1=1, IF(AND(COLUMN()-1=Sheet1!$AF$4, 32-ROW()=Sheet1!$AG$4), 0, 999), IF(COUNTIFS(Sheet1!$AK$1:$AK$50, COLUMN()-1, Sheet1!$AL$1:$AL$50, 32-ROW())&gt;0, 999, IF(AND(COLUMN()-1=Sheet1!$AF$4, 32-ROW()=Sheet1!$AG$4), 0, MIN(E11, F11, G11, E12, G12, E13, F13, G13) + 1)))</f>
        <v>999</v>
      </c>
      <c r="G12">
        <f>IF(Sheet1!$AG$1=1, IF(AND(COLUMN()-1=Sheet1!$AF$4, 32-ROW()=Sheet1!$AG$4), 0, 999), IF(COUNTIFS(Sheet1!$AK$1:$AK$50, COLUMN()-1, Sheet1!$AL$1:$AL$50, 32-ROW())&gt;0, 999, IF(AND(COLUMN()-1=Sheet1!$AF$4, 32-ROW()=Sheet1!$AG$4), 0, MIN(F11, G11, H11, F12, H12, F13, G13, H13) + 1)))</f>
        <v>999</v>
      </c>
      <c r="H12">
        <f>IF(Sheet1!$AG$1=1, IF(AND(COLUMN()-1=Sheet1!$AF$4, 32-ROW()=Sheet1!$AG$4), 0, 999), IF(COUNTIFS(Sheet1!$AK$1:$AK$50, COLUMN()-1, Sheet1!$AL$1:$AL$50, 32-ROW())&gt;0, 999, IF(AND(COLUMN()-1=Sheet1!$AF$4, 32-ROW()=Sheet1!$AG$4), 0, MIN(G11, H11, I11, G12, I12, G13, H13, I13) + 1)))</f>
        <v>999</v>
      </c>
      <c r="I12">
        <f>IF(Sheet1!$AG$1=1, IF(AND(COLUMN()-1=Sheet1!$AF$4, 32-ROW()=Sheet1!$AG$4), 0, 999), IF(COUNTIFS(Sheet1!$AK$1:$AK$50, COLUMN()-1, Sheet1!$AL$1:$AL$50, 32-ROW())&gt;0, 999, IF(AND(COLUMN()-1=Sheet1!$AF$4, 32-ROW()=Sheet1!$AG$4), 0, MIN(H11, I11, J11, H12, J12, H13, I13, J13) + 1)))</f>
        <v>999</v>
      </c>
      <c r="J12">
        <f>IF(Sheet1!$AG$1=1, IF(AND(COLUMN()-1=Sheet1!$AF$4, 32-ROW()=Sheet1!$AG$4), 0, 999), IF(COUNTIFS(Sheet1!$AK$1:$AK$50, COLUMN()-1, Sheet1!$AL$1:$AL$50, 32-ROW())&gt;0, 999, IF(AND(COLUMN()-1=Sheet1!$AF$4, 32-ROW()=Sheet1!$AG$4), 0, MIN(I11, J11, K11, I12, K12, I13, J13, K13) + 1)))</f>
        <v>999</v>
      </c>
      <c r="K12">
        <f>IF(Sheet1!$AG$1=1, IF(AND(COLUMN()-1=Sheet1!$AF$4, 32-ROW()=Sheet1!$AG$4), 0, 999), IF(COUNTIFS(Sheet1!$AK$1:$AK$50, COLUMN()-1, Sheet1!$AL$1:$AL$50, 32-ROW())&gt;0, 999, IF(AND(COLUMN()-1=Sheet1!$AF$4, 32-ROW()=Sheet1!$AG$4), 0, MIN(J11, K11, L11, J12, L12, J13, K13, L13) + 1)))</f>
        <v>999</v>
      </c>
      <c r="L12">
        <f>IF(Sheet1!$AG$1=1, IF(AND(COLUMN()-1=Sheet1!$AF$4, 32-ROW()=Sheet1!$AG$4), 0, 999), IF(COUNTIFS(Sheet1!$AK$1:$AK$50, COLUMN()-1, Sheet1!$AL$1:$AL$50, 32-ROW())&gt;0, 999, IF(AND(COLUMN()-1=Sheet1!$AF$4, 32-ROW()=Sheet1!$AG$4), 0, MIN(K11, L11, M11, K12, M12, K13, L13, M13) + 1)))</f>
        <v>999</v>
      </c>
      <c r="M12">
        <f>IF(Sheet1!$AG$1=1, IF(AND(COLUMN()-1=Sheet1!$AF$4, 32-ROW()=Sheet1!$AG$4), 0, 999), IF(COUNTIFS(Sheet1!$AK$1:$AK$50, COLUMN()-1, Sheet1!$AL$1:$AL$50, 32-ROW())&gt;0, 999, IF(AND(COLUMN()-1=Sheet1!$AF$4, 32-ROW()=Sheet1!$AG$4), 0, MIN(L11, M11, N11, L12, N12, L13, M13, N13) + 1)))</f>
        <v>999</v>
      </c>
      <c r="N12">
        <f>IF(Sheet1!$AG$1=1, IF(AND(COLUMN()-1=Sheet1!$AF$4, 32-ROW()=Sheet1!$AG$4), 0, 999), IF(COUNTIFS(Sheet1!$AK$1:$AK$50, COLUMN()-1, Sheet1!$AL$1:$AL$50, 32-ROW())&gt;0, 999, IF(AND(COLUMN()-1=Sheet1!$AF$4, 32-ROW()=Sheet1!$AG$4), 0, MIN(M11, N11, O11, M12, O12, M13, N13, O13) + 1)))</f>
        <v>999</v>
      </c>
      <c r="O12">
        <f>IF(Sheet1!$AG$1=1, IF(AND(COLUMN()-1=Sheet1!$AF$4, 32-ROW()=Sheet1!$AG$4), 0, 999), IF(COUNTIFS(Sheet1!$AK$1:$AK$50, COLUMN()-1, Sheet1!$AL$1:$AL$50, 32-ROW())&gt;0, 999, IF(AND(COLUMN()-1=Sheet1!$AF$4, 32-ROW()=Sheet1!$AG$4), 0, MIN(N11, O11, P11, N12, P12, N13, O13, P13) + 1)))</f>
        <v>999</v>
      </c>
      <c r="P12">
        <f>IF(Sheet1!$AG$1=1, IF(AND(COLUMN()-1=Sheet1!$AF$4, 32-ROW()=Sheet1!$AG$4), 0, 999), IF(COUNTIFS(Sheet1!$AK$1:$AK$50, COLUMN()-1, Sheet1!$AL$1:$AL$50, 32-ROW())&gt;0, 999, IF(AND(COLUMN()-1=Sheet1!$AF$4, 32-ROW()=Sheet1!$AG$4), 0, MIN(O11, P11, Q11, O12, Q12, O13, P13, Q13) + 1)))</f>
        <v>999</v>
      </c>
      <c r="Q12">
        <f>IF(Sheet1!$AG$1=1, IF(AND(COLUMN()-1=Sheet1!$AF$4, 32-ROW()=Sheet1!$AG$4), 0, 999), IF(COUNTIFS(Sheet1!$AK$1:$AK$50, COLUMN()-1, Sheet1!$AL$1:$AL$50, 32-ROW())&gt;0, 999, IF(AND(COLUMN()-1=Sheet1!$AF$4, 32-ROW()=Sheet1!$AG$4), 0, MIN(P11, Q11, R11, P12, R12, P13, Q13, R13) + 1)))</f>
        <v>999</v>
      </c>
      <c r="R12">
        <f>IF(Sheet1!$AG$1=1, IF(AND(COLUMN()-1=Sheet1!$AF$4, 32-ROW()=Sheet1!$AG$4), 0, 999), IF(COUNTIFS(Sheet1!$AK$1:$AK$50, COLUMN()-1, Sheet1!$AL$1:$AL$50, 32-ROW())&gt;0, 999, IF(AND(COLUMN()-1=Sheet1!$AF$4, 32-ROW()=Sheet1!$AG$4), 0, MIN(Q11, R11, S11, Q12, S12, Q13, R13, S13) + 1)))</f>
        <v>999</v>
      </c>
      <c r="S12">
        <f>IF(Sheet1!$AG$1=1, IF(AND(COLUMN()-1=Sheet1!$AF$4, 32-ROW()=Sheet1!$AG$4), 0, 999), IF(COUNTIFS(Sheet1!$AK$1:$AK$50, COLUMN()-1, Sheet1!$AL$1:$AL$50, 32-ROW())&gt;0, 999, IF(AND(COLUMN()-1=Sheet1!$AF$4, 32-ROW()=Sheet1!$AG$4), 0, MIN(R11, S11, T11, R12, T12, R13, S13, T13) + 1)))</f>
        <v>999</v>
      </c>
      <c r="T12">
        <f>IF(Sheet1!$AG$1=1, IF(AND(COLUMN()-1=Sheet1!$AF$4, 32-ROW()=Sheet1!$AG$4), 0, 999), IF(COUNTIFS(Sheet1!$AK$1:$AK$50, COLUMN()-1, Sheet1!$AL$1:$AL$50, 32-ROW())&gt;0, 999, IF(AND(COLUMN()-1=Sheet1!$AF$4, 32-ROW()=Sheet1!$AG$4), 0, MIN(S11, T11, U11, S12, U12, S13, T13, U13) + 1)))</f>
        <v>999</v>
      </c>
      <c r="U12">
        <f>IF(Sheet1!$AG$1=1, IF(AND(COLUMN()-1=Sheet1!$AF$4, 32-ROW()=Sheet1!$AG$4), 0, 999), IF(COUNTIFS(Sheet1!$AK$1:$AK$50, COLUMN()-1, Sheet1!$AL$1:$AL$50, 32-ROW())&gt;0, 999, IF(AND(COLUMN()-1=Sheet1!$AF$4, 32-ROW()=Sheet1!$AG$4), 0, MIN(T11, U11, V11, T12, V12, T13, U13, V13) + 1)))</f>
        <v>999</v>
      </c>
      <c r="V12">
        <f>IF(Sheet1!$AG$1=1, IF(AND(COLUMN()-1=Sheet1!$AF$4, 32-ROW()=Sheet1!$AG$4), 0, 999), IF(COUNTIFS(Sheet1!$AK$1:$AK$50, COLUMN()-1, Sheet1!$AL$1:$AL$50, 32-ROW())&gt;0, 999, IF(AND(COLUMN()-1=Sheet1!$AF$4, 32-ROW()=Sheet1!$AG$4), 0, MIN(U11, V11, W11, U12, W12, U13, V13, W13) + 1)))</f>
        <v>999</v>
      </c>
      <c r="W12">
        <f>IF(Sheet1!$AG$1=1, IF(AND(COLUMN()-1=Sheet1!$AF$4, 32-ROW()=Sheet1!$AG$4), 0, 999), IF(COUNTIFS(Sheet1!$AK$1:$AK$50, COLUMN()-1, Sheet1!$AL$1:$AL$50, 32-ROW())&gt;0, 999, IF(AND(COLUMN()-1=Sheet1!$AF$4, 32-ROW()=Sheet1!$AG$4), 0, MIN(V11, W11, X11, V12, X12, V13, W13, X13) + 1)))</f>
        <v>999</v>
      </c>
      <c r="X12">
        <f>IF(Sheet1!$AG$1=1, IF(AND(COLUMN()-1=Sheet1!$AF$4, 32-ROW()=Sheet1!$AG$4), 0, 999), IF(COUNTIFS(Sheet1!$AK$1:$AK$50, COLUMN()-1, Sheet1!$AL$1:$AL$50, 32-ROW())&gt;0, 999, IF(AND(COLUMN()-1=Sheet1!$AF$4, 32-ROW()=Sheet1!$AG$4), 0, MIN(W11, X11, Y11, W12, Y12, W13, X13, Y13) + 1)))</f>
        <v>999</v>
      </c>
      <c r="Y12">
        <f>IF(Sheet1!$AG$1=1, IF(AND(COLUMN()-1=Sheet1!$AF$4, 32-ROW()=Sheet1!$AG$4), 0, 999), IF(COUNTIFS(Sheet1!$AK$1:$AK$50, COLUMN()-1, Sheet1!$AL$1:$AL$50, 32-ROW())&gt;0, 999, IF(AND(COLUMN()-1=Sheet1!$AF$4, 32-ROW()=Sheet1!$AG$4), 0, MIN(X11, Y11, Z11, X12, Z12, X13, Y13, Z13) + 1)))</f>
        <v>999</v>
      </c>
      <c r="Z12">
        <f>IF(Sheet1!$AG$1=1, IF(AND(COLUMN()-1=Sheet1!$AF$4, 32-ROW()=Sheet1!$AG$4), 0, 999), IF(COUNTIFS(Sheet1!$AK$1:$AK$50, COLUMN()-1, Sheet1!$AL$1:$AL$50, 32-ROW())&gt;0, 999, IF(AND(COLUMN()-1=Sheet1!$AF$4, 32-ROW()=Sheet1!$AG$4), 0, MIN(Y11, Z11, AA11, Y12, AA12, Y13, Z13, AA13) + 1)))</f>
        <v>999</v>
      </c>
      <c r="AA12">
        <f>IF(Sheet1!$AG$1=1, IF(AND(COLUMN()-1=Sheet1!$AF$4, 32-ROW()=Sheet1!$AG$4), 0, 999), IF(COUNTIFS(Sheet1!$AK$1:$AK$50, COLUMN()-1, Sheet1!$AL$1:$AL$50, 32-ROW())&gt;0, 999, IF(AND(COLUMN()-1=Sheet1!$AF$4, 32-ROW()=Sheet1!$AG$4), 0, MIN(Z11, AA11, AB11, Z12, AB12, Z13, AA13, AB13) + 1)))</f>
        <v>999</v>
      </c>
      <c r="AB12">
        <f>IF(Sheet1!$AG$1=1, IF(AND(COLUMN()-1=Sheet1!$AF$4, 32-ROW()=Sheet1!$AG$4), 0, 999), IF(COUNTIFS(Sheet1!$AK$1:$AK$50, COLUMN()-1, Sheet1!$AL$1:$AL$50, 32-ROW())&gt;0, 999, IF(AND(COLUMN()-1=Sheet1!$AF$4, 32-ROW()=Sheet1!$AG$4), 0, MIN(AA11, AB11, AC11, AA12, AC12, AA13, AB13, AC13) + 1)))</f>
        <v>999</v>
      </c>
      <c r="AC12">
        <f>IF(Sheet1!$AG$1=1, IF(AND(COLUMN()-1=Sheet1!$AF$4, 32-ROW()=Sheet1!$AG$4), 0, 999), IF(COUNTIFS(Sheet1!$AK$1:$AK$50, COLUMN()-1, Sheet1!$AL$1:$AL$50, 32-ROW())&gt;0, 999, IF(AND(COLUMN()-1=Sheet1!$AF$4, 32-ROW()=Sheet1!$AG$4), 0, MIN(AB11, AC11, AD11, AB12, AD12, AB13, AC13, AD13) + 1)))</f>
        <v>999</v>
      </c>
      <c r="AD12">
        <f>IF(Sheet1!$AG$1=1, IF(AND(COLUMN()-1=Sheet1!$AF$4, 32-ROW()=Sheet1!$AG$4), 0, 999), IF(COUNTIFS(Sheet1!$AK$1:$AK$50, COLUMN()-1, Sheet1!$AL$1:$AL$50, 32-ROW())&gt;0, 999, IF(AND(COLUMN()-1=Sheet1!$AF$4, 32-ROW()=Sheet1!$AG$4), 0, MIN(AC11, AD11, AE11, AC12, AE12, AC13, AD13, AE13) + 1)))</f>
        <v>999</v>
      </c>
      <c r="AE12">
        <f>IF(Sheet1!$AG$1=1, IF(AND(COLUMN()-1=Sheet1!$AF$4, 32-ROW()=Sheet1!$AG$4), 0, 999), IF(COUNTIFS(Sheet1!$AK$1:$AK$50, COLUMN()-1, Sheet1!$AL$1:$AL$50, 32-ROW())&gt;0, 999, IF(AND(COLUMN()-1=Sheet1!$AF$4, 32-ROW()=Sheet1!$AG$4), 0, MIN(AD11, AE11, AF11, AD12, AF12, AD13, AE13, AF13) + 1)))</f>
        <v>999</v>
      </c>
      <c r="AF12">
        <v>999</v>
      </c>
    </row>
    <row r="13" spans="1:32">
      <c r="A13">
        <v>999</v>
      </c>
      <c r="B13">
        <f>IF(Sheet1!$AG$1=1, IF(AND(COLUMN()-1=Sheet1!$AF$4, 32-ROW()=Sheet1!$AG$4), 0, 999), IF(COUNTIFS(Sheet1!$AK$1:$AK$50, COLUMN()-1, Sheet1!$AL$1:$AL$50, 32-ROW())&gt;0, 999, IF(AND(COLUMN()-1=Sheet1!$AF$4, 32-ROW()=Sheet1!$AG$4), 0, MIN(A12, B12, C12, A13, C13, A14, B14, C14) + 1)))</f>
        <v>999</v>
      </c>
      <c r="C13">
        <f>IF(Sheet1!$AG$1=1, IF(AND(COLUMN()-1=Sheet1!$AF$4, 32-ROW()=Sheet1!$AG$4), 0, 999), IF(COUNTIFS(Sheet1!$AK$1:$AK$50, COLUMN()-1, Sheet1!$AL$1:$AL$50, 32-ROW())&gt;0, 999, IF(AND(COLUMN()-1=Sheet1!$AF$4, 32-ROW()=Sheet1!$AG$4), 0, MIN(B12, C12, D12, B13, D13, B14, C14, D14) + 1)))</f>
        <v>999</v>
      </c>
      <c r="D13">
        <f>IF(Sheet1!$AG$1=1, IF(AND(COLUMN()-1=Sheet1!$AF$4, 32-ROW()=Sheet1!$AG$4), 0, 999), IF(COUNTIFS(Sheet1!$AK$1:$AK$50, COLUMN()-1, Sheet1!$AL$1:$AL$50, 32-ROW())&gt;0, 999, IF(AND(COLUMN()-1=Sheet1!$AF$4, 32-ROW()=Sheet1!$AG$4), 0, MIN(C12, D12, E12, C13, E13, C14, D14, E14) + 1)))</f>
        <v>999</v>
      </c>
      <c r="E13">
        <f>IF(Sheet1!$AG$1=1, IF(AND(COLUMN()-1=Sheet1!$AF$4, 32-ROW()=Sheet1!$AG$4), 0, 999), IF(COUNTIFS(Sheet1!$AK$1:$AK$50, COLUMN()-1, Sheet1!$AL$1:$AL$50, 32-ROW())&gt;0, 999, IF(AND(COLUMN()-1=Sheet1!$AF$4, 32-ROW()=Sheet1!$AG$4), 0, MIN(D12, E12, F12, D13, F13, D14, E14, F14) + 1)))</f>
        <v>999</v>
      </c>
      <c r="F13">
        <f>IF(Sheet1!$AG$1=1, IF(AND(COLUMN()-1=Sheet1!$AF$4, 32-ROW()=Sheet1!$AG$4), 0, 999), IF(COUNTIFS(Sheet1!$AK$1:$AK$50, COLUMN()-1, Sheet1!$AL$1:$AL$50, 32-ROW())&gt;0, 999, IF(AND(COLUMN()-1=Sheet1!$AF$4, 32-ROW()=Sheet1!$AG$4), 0, MIN(E12, F12, G12, E13, G13, E14, F14, G14) + 1)))</f>
        <v>999</v>
      </c>
      <c r="G13">
        <f>IF(Sheet1!$AG$1=1, IF(AND(COLUMN()-1=Sheet1!$AF$4, 32-ROW()=Sheet1!$AG$4), 0, 999), IF(COUNTIFS(Sheet1!$AK$1:$AK$50, COLUMN()-1, Sheet1!$AL$1:$AL$50, 32-ROW())&gt;0, 999, IF(AND(COLUMN()-1=Sheet1!$AF$4, 32-ROW()=Sheet1!$AG$4), 0, MIN(F12, G12, H12, F13, H13, F14, G14, H14) + 1)))</f>
        <v>999</v>
      </c>
      <c r="H13">
        <f>IF(Sheet1!$AG$1=1, IF(AND(COLUMN()-1=Sheet1!$AF$4, 32-ROW()=Sheet1!$AG$4), 0, 999), IF(COUNTIFS(Sheet1!$AK$1:$AK$50, COLUMN()-1, Sheet1!$AL$1:$AL$50, 32-ROW())&gt;0, 999, IF(AND(COLUMN()-1=Sheet1!$AF$4, 32-ROW()=Sheet1!$AG$4), 0, MIN(G12, H12, I12, G13, I13, G14, H14, I14) + 1)))</f>
        <v>999</v>
      </c>
      <c r="I13">
        <f>IF(Sheet1!$AG$1=1, IF(AND(COLUMN()-1=Sheet1!$AF$4, 32-ROW()=Sheet1!$AG$4), 0, 999), IF(COUNTIFS(Sheet1!$AK$1:$AK$50, COLUMN()-1, Sheet1!$AL$1:$AL$50, 32-ROW())&gt;0, 999, IF(AND(COLUMN()-1=Sheet1!$AF$4, 32-ROW()=Sheet1!$AG$4), 0, MIN(H12, I12, J12, H13, J13, H14, I14, J14) + 1)))</f>
        <v>999</v>
      </c>
      <c r="J13">
        <f>IF(Sheet1!$AG$1=1, IF(AND(COLUMN()-1=Sheet1!$AF$4, 32-ROW()=Sheet1!$AG$4), 0, 999), IF(COUNTIFS(Sheet1!$AK$1:$AK$50, COLUMN()-1, Sheet1!$AL$1:$AL$50, 32-ROW())&gt;0, 999, IF(AND(COLUMN()-1=Sheet1!$AF$4, 32-ROW()=Sheet1!$AG$4), 0, MIN(I12, J12, K12, I13, K13, I14, J14, K14) + 1)))</f>
        <v>999</v>
      </c>
      <c r="K13">
        <f>IF(Sheet1!$AG$1=1, IF(AND(COLUMN()-1=Sheet1!$AF$4, 32-ROW()=Sheet1!$AG$4), 0, 999), IF(COUNTIFS(Sheet1!$AK$1:$AK$50, COLUMN()-1, Sheet1!$AL$1:$AL$50, 32-ROW())&gt;0, 999, IF(AND(COLUMN()-1=Sheet1!$AF$4, 32-ROW()=Sheet1!$AG$4), 0, MIN(J12, K12, L12, J13, L13, J14, K14, L14) + 1)))</f>
        <v>999</v>
      </c>
      <c r="L13">
        <f>IF(Sheet1!$AG$1=1, IF(AND(COLUMN()-1=Sheet1!$AF$4, 32-ROW()=Sheet1!$AG$4), 0, 999), IF(COUNTIFS(Sheet1!$AK$1:$AK$50, COLUMN()-1, Sheet1!$AL$1:$AL$50, 32-ROW())&gt;0, 999, IF(AND(COLUMN()-1=Sheet1!$AF$4, 32-ROW()=Sheet1!$AG$4), 0, MIN(K12, L12, M12, K13, M13, K14, L14, M14) + 1)))</f>
        <v>999</v>
      </c>
      <c r="M13">
        <f>IF(Sheet1!$AG$1=1, IF(AND(COLUMN()-1=Sheet1!$AF$4, 32-ROW()=Sheet1!$AG$4), 0, 999), IF(COUNTIFS(Sheet1!$AK$1:$AK$50, COLUMN()-1, Sheet1!$AL$1:$AL$50, 32-ROW())&gt;0, 999, IF(AND(COLUMN()-1=Sheet1!$AF$4, 32-ROW()=Sheet1!$AG$4), 0, MIN(L12, M12, N12, L13, N13, L14, M14, N14) + 1)))</f>
        <v>999</v>
      </c>
      <c r="N13">
        <f>IF(Sheet1!$AG$1=1, IF(AND(COLUMN()-1=Sheet1!$AF$4, 32-ROW()=Sheet1!$AG$4), 0, 999), IF(COUNTIFS(Sheet1!$AK$1:$AK$50, COLUMN()-1, Sheet1!$AL$1:$AL$50, 32-ROW())&gt;0, 999, IF(AND(COLUMN()-1=Sheet1!$AF$4, 32-ROW()=Sheet1!$AG$4), 0, MIN(M12, N12, O12, M13, O13, M14, N14, O14) + 1)))</f>
        <v>999</v>
      </c>
      <c r="O13">
        <f>IF(Sheet1!$AG$1=1, IF(AND(COLUMN()-1=Sheet1!$AF$4, 32-ROW()=Sheet1!$AG$4), 0, 999), IF(COUNTIFS(Sheet1!$AK$1:$AK$50, COLUMN()-1, Sheet1!$AL$1:$AL$50, 32-ROW())&gt;0, 999, IF(AND(COLUMN()-1=Sheet1!$AF$4, 32-ROW()=Sheet1!$AG$4), 0, MIN(N12, O12, P12, N13, P13, N14, O14, P14) + 1)))</f>
        <v>999</v>
      </c>
      <c r="P13">
        <f>IF(Sheet1!$AG$1=1, IF(AND(COLUMN()-1=Sheet1!$AF$4, 32-ROW()=Sheet1!$AG$4), 0, 999), IF(COUNTIFS(Sheet1!$AK$1:$AK$50, COLUMN()-1, Sheet1!$AL$1:$AL$50, 32-ROW())&gt;0, 999, IF(AND(COLUMN()-1=Sheet1!$AF$4, 32-ROW()=Sheet1!$AG$4), 0, MIN(O12, P12, Q12, O13, Q13, O14, P14, Q14) + 1)))</f>
        <v>999</v>
      </c>
      <c r="Q13">
        <f>IF(Sheet1!$AG$1=1, IF(AND(COLUMN()-1=Sheet1!$AF$4, 32-ROW()=Sheet1!$AG$4), 0, 999), IF(COUNTIFS(Sheet1!$AK$1:$AK$50, COLUMN()-1, Sheet1!$AL$1:$AL$50, 32-ROW())&gt;0, 999, IF(AND(COLUMN()-1=Sheet1!$AF$4, 32-ROW()=Sheet1!$AG$4), 0, MIN(P12, Q12, R12, P13, R13, P14, Q14, R14) + 1)))</f>
        <v>999</v>
      </c>
      <c r="R13">
        <f>IF(Sheet1!$AG$1=1, IF(AND(COLUMN()-1=Sheet1!$AF$4, 32-ROW()=Sheet1!$AG$4), 0, 999), IF(COUNTIFS(Sheet1!$AK$1:$AK$50, COLUMN()-1, Sheet1!$AL$1:$AL$50, 32-ROW())&gt;0, 999, IF(AND(COLUMN()-1=Sheet1!$AF$4, 32-ROW()=Sheet1!$AG$4), 0, MIN(Q12, R12, S12, Q13, S13, Q14, R14, S14) + 1)))</f>
        <v>999</v>
      </c>
      <c r="S13">
        <f>IF(Sheet1!$AG$1=1, IF(AND(COLUMN()-1=Sheet1!$AF$4, 32-ROW()=Sheet1!$AG$4), 0, 999), IF(COUNTIFS(Sheet1!$AK$1:$AK$50, COLUMN()-1, Sheet1!$AL$1:$AL$50, 32-ROW())&gt;0, 999, IF(AND(COLUMN()-1=Sheet1!$AF$4, 32-ROW()=Sheet1!$AG$4), 0, MIN(R12, S12, T12, R13, T13, R14, S14, T14) + 1)))</f>
        <v>999</v>
      </c>
      <c r="T13">
        <f>IF(Sheet1!$AG$1=1, IF(AND(COLUMN()-1=Sheet1!$AF$4, 32-ROW()=Sheet1!$AG$4), 0, 999), IF(COUNTIFS(Sheet1!$AK$1:$AK$50, COLUMN()-1, Sheet1!$AL$1:$AL$50, 32-ROW())&gt;0, 999, IF(AND(COLUMN()-1=Sheet1!$AF$4, 32-ROW()=Sheet1!$AG$4), 0, MIN(S12, T12, U12, S13, U13, S14, T14, U14) + 1)))</f>
        <v>999</v>
      </c>
      <c r="U13">
        <f>IF(Sheet1!$AG$1=1, IF(AND(COLUMN()-1=Sheet1!$AF$4, 32-ROW()=Sheet1!$AG$4), 0, 999), IF(COUNTIFS(Sheet1!$AK$1:$AK$50, COLUMN()-1, Sheet1!$AL$1:$AL$50, 32-ROW())&gt;0, 999, IF(AND(COLUMN()-1=Sheet1!$AF$4, 32-ROW()=Sheet1!$AG$4), 0, MIN(T12, U12, V12, T13, V13, T14, U14, V14) + 1)))</f>
        <v>999</v>
      </c>
      <c r="V13">
        <f>IF(Sheet1!$AG$1=1, IF(AND(COLUMN()-1=Sheet1!$AF$4, 32-ROW()=Sheet1!$AG$4), 0, 999), IF(COUNTIFS(Sheet1!$AK$1:$AK$50, COLUMN()-1, Sheet1!$AL$1:$AL$50, 32-ROW())&gt;0, 999, IF(AND(COLUMN()-1=Sheet1!$AF$4, 32-ROW()=Sheet1!$AG$4), 0, MIN(U12, V12, W12, U13, W13, U14, V14, W14) + 1)))</f>
        <v>999</v>
      </c>
      <c r="W13">
        <f>IF(Sheet1!$AG$1=1, IF(AND(COLUMN()-1=Sheet1!$AF$4, 32-ROW()=Sheet1!$AG$4), 0, 999), IF(COUNTIFS(Sheet1!$AK$1:$AK$50, COLUMN()-1, Sheet1!$AL$1:$AL$50, 32-ROW())&gt;0, 999, IF(AND(COLUMN()-1=Sheet1!$AF$4, 32-ROW()=Sheet1!$AG$4), 0, MIN(V12, W12, X12, V13, X13, V14, W14, X14) + 1)))</f>
        <v>999</v>
      </c>
      <c r="X13">
        <f>IF(Sheet1!$AG$1=1, IF(AND(COLUMN()-1=Sheet1!$AF$4, 32-ROW()=Sheet1!$AG$4), 0, 999), IF(COUNTIFS(Sheet1!$AK$1:$AK$50, COLUMN()-1, Sheet1!$AL$1:$AL$50, 32-ROW())&gt;0, 999, IF(AND(COLUMN()-1=Sheet1!$AF$4, 32-ROW()=Sheet1!$AG$4), 0, MIN(W12, X12, Y12, W13, Y13, W14, X14, Y14) + 1)))</f>
        <v>999</v>
      </c>
      <c r="Y13">
        <f>IF(Sheet1!$AG$1=1, IF(AND(COLUMN()-1=Sheet1!$AF$4, 32-ROW()=Sheet1!$AG$4), 0, 999), IF(COUNTIFS(Sheet1!$AK$1:$AK$50, COLUMN()-1, Sheet1!$AL$1:$AL$50, 32-ROW())&gt;0, 999, IF(AND(COLUMN()-1=Sheet1!$AF$4, 32-ROW()=Sheet1!$AG$4), 0, MIN(X12, Y12, Z12, X13, Z13, X14, Y14, Z14) + 1)))</f>
        <v>999</v>
      </c>
      <c r="Z13">
        <f>IF(Sheet1!$AG$1=1, IF(AND(COLUMN()-1=Sheet1!$AF$4, 32-ROW()=Sheet1!$AG$4), 0, 999), IF(COUNTIFS(Sheet1!$AK$1:$AK$50, COLUMN()-1, Sheet1!$AL$1:$AL$50, 32-ROW())&gt;0, 999, IF(AND(COLUMN()-1=Sheet1!$AF$4, 32-ROW()=Sheet1!$AG$4), 0, MIN(Y12, Z12, AA12, Y13, AA13, Y14, Z14, AA14) + 1)))</f>
        <v>999</v>
      </c>
      <c r="AA13">
        <f>IF(Sheet1!$AG$1=1, IF(AND(COLUMN()-1=Sheet1!$AF$4, 32-ROW()=Sheet1!$AG$4), 0, 999), IF(COUNTIFS(Sheet1!$AK$1:$AK$50, COLUMN()-1, Sheet1!$AL$1:$AL$50, 32-ROW())&gt;0, 999, IF(AND(COLUMN()-1=Sheet1!$AF$4, 32-ROW()=Sheet1!$AG$4), 0, MIN(Z12, AA12, AB12, Z13, AB13, Z14, AA14, AB14) + 1)))</f>
        <v>999</v>
      </c>
      <c r="AB13">
        <f>IF(Sheet1!$AG$1=1, IF(AND(COLUMN()-1=Sheet1!$AF$4, 32-ROW()=Sheet1!$AG$4), 0, 999), IF(COUNTIFS(Sheet1!$AK$1:$AK$50, COLUMN()-1, Sheet1!$AL$1:$AL$50, 32-ROW())&gt;0, 999, IF(AND(COLUMN()-1=Sheet1!$AF$4, 32-ROW()=Sheet1!$AG$4), 0, MIN(AA12, AB12, AC12, AA13, AC13, AA14, AB14, AC14) + 1)))</f>
        <v>999</v>
      </c>
      <c r="AC13">
        <f>IF(Sheet1!$AG$1=1, IF(AND(COLUMN()-1=Sheet1!$AF$4, 32-ROW()=Sheet1!$AG$4), 0, 999), IF(COUNTIFS(Sheet1!$AK$1:$AK$50, COLUMN()-1, Sheet1!$AL$1:$AL$50, 32-ROW())&gt;0, 999, IF(AND(COLUMN()-1=Sheet1!$AF$4, 32-ROW()=Sheet1!$AG$4), 0, MIN(AB12, AC12, AD12, AB13, AD13, AB14, AC14, AD14) + 1)))</f>
        <v>999</v>
      </c>
      <c r="AD13">
        <f>IF(Sheet1!$AG$1=1, IF(AND(COLUMN()-1=Sheet1!$AF$4, 32-ROW()=Sheet1!$AG$4), 0, 999), IF(COUNTIFS(Sheet1!$AK$1:$AK$50, COLUMN()-1, Sheet1!$AL$1:$AL$50, 32-ROW())&gt;0, 999, IF(AND(COLUMN()-1=Sheet1!$AF$4, 32-ROW()=Sheet1!$AG$4), 0, MIN(AC12, AD12, AE12, AC13, AE13, AC14, AD14, AE14) + 1)))</f>
        <v>999</v>
      </c>
      <c r="AE13">
        <f>IF(Sheet1!$AG$1=1, IF(AND(COLUMN()-1=Sheet1!$AF$4, 32-ROW()=Sheet1!$AG$4), 0, 999), IF(COUNTIFS(Sheet1!$AK$1:$AK$50, COLUMN()-1, Sheet1!$AL$1:$AL$50, 32-ROW())&gt;0, 999, IF(AND(COLUMN()-1=Sheet1!$AF$4, 32-ROW()=Sheet1!$AG$4), 0, MIN(AD12, AE12, AF12, AD13, AF13, AD14, AE14, AF14) + 1)))</f>
        <v>999</v>
      </c>
      <c r="AF13">
        <v>999</v>
      </c>
    </row>
    <row r="14" spans="1:32">
      <c r="A14">
        <v>999</v>
      </c>
      <c r="B14">
        <f>IF(Sheet1!$AG$1=1, IF(AND(COLUMN()-1=Sheet1!$AF$4, 32-ROW()=Sheet1!$AG$4), 0, 999), IF(COUNTIFS(Sheet1!$AK$1:$AK$50, COLUMN()-1, Sheet1!$AL$1:$AL$50, 32-ROW())&gt;0, 999, IF(AND(COLUMN()-1=Sheet1!$AF$4, 32-ROW()=Sheet1!$AG$4), 0, MIN(A13, B13, C13, A14, C14, A15, B15, C15) + 1)))</f>
        <v>999</v>
      </c>
      <c r="C14">
        <f>IF(Sheet1!$AG$1=1, IF(AND(COLUMN()-1=Sheet1!$AF$4, 32-ROW()=Sheet1!$AG$4), 0, 999), IF(COUNTIFS(Sheet1!$AK$1:$AK$50, COLUMN()-1, Sheet1!$AL$1:$AL$50, 32-ROW())&gt;0, 999, IF(AND(COLUMN()-1=Sheet1!$AF$4, 32-ROW()=Sheet1!$AG$4), 0, MIN(B13, C13, D13, B14, D14, B15, C15, D15) + 1)))</f>
        <v>999</v>
      </c>
      <c r="D14">
        <f>IF(Sheet1!$AG$1=1, IF(AND(COLUMN()-1=Sheet1!$AF$4, 32-ROW()=Sheet1!$AG$4), 0, 999), IF(COUNTIFS(Sheet1!$AK$1:$AK$50, COLUMN()-1, Sheet1!$AL$1:$AL$50, 32-ROW())&gt;0, 999, IF(AND(COLUMN()-1=Sheet1!$AF$4, 32-ROW()=Sheet1!$AG$4), 0, MIN(C13, D13, E13, C14, E14, C15, D15, E15) + 1)))</f>
        <v>999</v>
      </c>
      <c r="E14">
        <f>IF(Sheet1!$AG$1=1, IF(AND(COLUMN()-1=Sheet1!$AF$4, 32-ROW()=Sheet1!$AG$4), 0, 999), IF(COUNTIFS(Sheet1!$AK$1:$AK$50, COLUMN()-1, Sheet1!$AL$1:$AL$50, 32-ROW())&gt;0, 999, IF(AND(COLUMN()-1=Sheet1!$AF$4, 32-ROW()=Sheet1!$AG$4), 0, MIN(D13, E13, F13, D14, F14, D15, E15, F15) + 1)))</f>
        <v>999</v>
      </c>
      <c r="F14">
        <f>IF(Sheet1!$AG$1=1, IF(AND(COLUMN()-1=Sheet1!$AF$4, 32-ROW()=Sheet1!$AG$4), 0, 999), IF(COUNTIFS(Sheet1!$AK$1:$AK$50, COLUMN()-1, Sheet1!$AL$1:$AL$50, 32-ROW())&gt;0, 999, IF(AND(COLUMN()-1=Sheet1!$AF$4, 32-ROW()=Sheet1!$AG$4), 0, MIN(E13, F13, G13, E14, G14, E15, F15, G15) + 1)))</f>
        <v>999</v>
      </c>
      <c r="G14">
        <f>IF(Sheet1!$AG$1=1, IF(AND(COLUMN()-1=Sheet1!$AF$4, 32-ROW()=Sheet1!$AG$4), 0, 999), IF(COUNTIFS(Sheet1!$AK$1:$AK$50, COLUMN()-1, Sheet1!$AL$1:$AL$50, 32-ROW())&gt;0, 999, IF(AND(COLUMN()-1=Sheet1!$AF$4, 32-ROW()=Sheet1!$AG$4), 0, MIN(F13, G13, H13, F14, H14, F15, G15, H15) + 1)))</f>
        <v>999</v>
      </c>
      <c r="H14">
        <f>IF(Sheet1!$AG$1=1, IF(AND(COLUMN()-1=Sheet1!$AF$4, 32-ROW()=Sheet1!$AG$4), 0, 999), IF(COUNTIFS(Sheet1!$AK$1:$AK$50, COLUMN()-1, Sheet1!$AL$1:$AL$50, 32-ROW())&gt;0, 999, IF(AND(COLUMN()-1=Sheet1!$AF$4, 32-ROW()=Sheet1!$AG$4), 0, MIN(G13, H13, I13, G14, I14, G15, H15, I15) + 1)))</f>
        <v>999</v>
      </c>
      <c r="I14">
        <f>IF(Sheet1!$AG$1=1, IF(AND(COLUMN()-1=Sheet1!$AF$4, 32-ROW()=Sheet1!$AG$4), 0, 999), IF(COUNTIFS(Sheet1!$AK$1:$AK$50, COLUMN()-1, Sheet1!$AL$1:$AL$50, 32-ROW())&gt;0, 999, IF(AND(COLUMN()-1=Sheet1!$AF$4, 32-ROW()=Sheet1!$AG$4), 0, MIN(H13, I13, J13, H14, J14, H15, I15, J15) + 1)))</f>
        <v>999</v>
      </c>
      <c r="J14">
        <f>IF(Sheet1!$AG$1=1, IF(AND(COLUMN()-1=Sheet1!$AF$4, 32-ROW()=Sheet1!$AG$4), 0, 999), IF(COUNTIFS(Sheet1!$AK$1:$AK$50, COLUMN()-1, Sheet1!$AL$1:$AL$50, 32-ROW())&gt;0, 999, IF(AND(COLUMN()-1=Sheet1!$AF$4, 32-ROW()=Sheet1!$AG$4), 0, MIN(I13, J13, K13, I14, K14, I15, J15, K15) + 1)))</f>
        <v>999</v>
      </c>
      <c r="K14">
        <f>IF(Sheet1!$AG$1=1, IF(AND(COLUMN()-1=Sheet1!$AF$4, 32-ROW()=Sheet1!$AG$4), 0, 999), IF(COUNTIFS(Sheet1!$AK$1:$AK$50, COLUMN()-1, Sheet1!$AL$1:$AL$50, 32-ROW())&gt;0, 999, IF(AND(COLUMN()-1=Sheet1!$AF$4, 32-ROW()=Sheet1!$AG$4), 0, MIN(J13, K13, L13, J14, L14, J15, K15, L15) + 1)))</f>
        <v>999</v>
      </c>
      <c r="L14">
        <f>IF(Sheet1!$AG$1=1, IF(AND(COLUMN()-1=Sheet1!$AF$4, 32-ROW()=Sheet1!$AG$4), 0, 999), IF(COUNTIFS(Sheet1!$AK$1:$AK$50, COLUMN()-1, Sheet1!$AL$1:$AL$50, 32-ROW())&gt;0, 999, IF(AND(COLUMN()-1=Sheet1!$AF$4, 32-ROW()=Sheet1!$AG$4), 0, MIN(K13, L13, M13, K14, M14, K15, L15, M15) + 1)))</f>
        <v>999</v>
      </c>
      <c r="M14">
        <f>IF(Sheet1!$AG$1=1, IF(AND(COLUMN()-1=Sheet1!$AF$4, 32-ROW()=Sheet1!$AG$4), 0, 999), IF(COUNTIFS(Sheet1!$AK$1:$AK$50, COLUMN()-1, Sheet1!$AL$1:$AL$50, 32-ROW())&gt;0, 999, IF(AND(COLUMN()-1=Sheet1!$AF$4, 32-ROW()=Sheet1!$AG$4), 0, MIN(L13, M13, N13, L14, N14, L15, M15, N15) + 1)))</f>
        <v>999</v>
      </c>
      <c r="N14">
        <f>IF(Sheet1!$AG$1=1, IF(AND(COLUMN()-1=Sheet1!$AF$4, 32-ROW()=Sheet1!$AG$4), 0, 999), IF(COUNTIFS(Sheet1!$AK$1:$AK$50, COLUMN()-1, Sheet1!$AL$1:$AL$50, 32-ROW())&gt;0, 999, IF(AND(COLUMN()-1=Sheet1!$AF$4, 32-ROW()=Sheet1!$AG$4), 0, MIN(M13, N13, O13, M14, O14, M15, N15, O15) + 1)))</f>
        <v>999</v>
      </c>
      <c r="O14">
        <f>IF(Sheet1!$AG$1=1, IF(AND(COLUMN()-1=Sheet1!$AF$4, 32-ROW()=Sheet1!$AG$4), 0, 999), IF(COUNTIFS(Sheet1!$AK$1:$AK$50, COLUMN()-1, Sheet1!$AL$1:$AL$50, 32-ROW())&gt;0, 999, IF(AND(COLUMN()-1=Sheet1!$AF$4, 32-ROW()=Sheet1!$AG$4), 0, MIN(N13, O13, P13, N14, P14, N15, O15, P15) + 1)))</f>
        <v>999</v>
      </c>
      <c r="P14">
        <f>IF(Sheet1!$AG$1=1, IF(AND(COLUMN()-1=Sheet1!$AF$4, 32-ROW()=Sheet1!$AG$4), 0, 999), IF(COUNTIFS(Sheet1!$AK$1:$AK$50, COLUMN()-1, Sheet1!$AL$1:$AL$50, 32-ROW())&gt;0, 999, IF(AND(COLUMN()-1=Sheet1!$AF$4, 32-ROW()=Sheet1!$AG$4), 0, MIN(O13, P13, Q13, O14, Q14, O15, P15, Q15) + 1)))</f>
        <v>999</v>
      </c>
      <c r="Q14">
        <f>IF(Sheet1!$AG$1=1, IF(AND(COLUMN()-1=Sheet1!$AF$4, 32-ROW()=Sheet1!$AG$4), 0, 999), IF(COUNTIFS(Sheet1!$AK$1:$AK$50, COLUMN()-1, Sheet1!$AL$1:$AL$50, 32-ROW())&gt;0, 999, IF(AND(COLUMN()-1=Sheet1!$AF$4, 32-ROW()=Sheet1!$AG$4), 0, MIN(P13, Q13, R13, P14, R14, P15, Q15, R15) + 1)))</f>
        <v>999</v>
      </c>
      <c r="R14">
        <f>IF(Sheet1!$AG$1=1, IF(AND(COLUMN()-1=Sheet1!$AF$4, 32-ROW()=Sheet1!$AG$4), 0, 999), IF(COUNTIFS(Sheet1!$AK$1:$AK$50, COLUMN()-1, Sheet1!$AL$1:$AL$50, 32-ROW())&gt;0, 999, IF(AND(COLUMN()-1=Sheet1!$AF$4, 32-ROW()=Sheet1!$AG$4), 0, MIN(Q13, R13, S13, Q14, S14, Q15, R15, S15) + 1)))</f>
        <v>999</v>
      </c>
      <c r="S14">
        <f>IF(Sheet1!$AG$1=1, IF(AND(COLUMN()-1=Sheet1!$AF$4, 32-ROW()=Sheet1!$AG$4), 0, 999), IF(COUNTIFS(Sheet1!$AK$1:$AK$50, COLUMN()-1, Sheet1!$AL$1:$AL$50, 32-ROW())&gt;0, 999, IF(AND(COLUMN()-1=Sheet1!$AF$4, 32-ROW()=Sheet1!$AG$4), 0, MIN(R13, S13, T13, R14, T14, R15, S15, T15) + 1)))</f>
        <v>999</v>
      </c>
      <c r="T14">
        <f>IF(Sheet1!$AG$1=1, IF(AND(COLUMN()-1=Sheet1!$AF$4, 32-ROW()=Sheet1!$AG$4), 0, 999), IF(COUNTIFS(Sheet1!$AK$1:$AK$50, COLUMN()-1, Sheet1!$AL$1:$AL$50, 32-ROW())&gt;0, 999, IF(AND(COLUMN()-1=Sheet1!$AF$4, 32-ROW()=Sheet1!$AG$4), 0, MIN(S13, T13, U13, S14, U14, S15, T15, U15) + 1)))</f>
        <v>999</v>
      </c>
      <c r="U14">
        <f>IF(Sheet1!$AG$1=1, IF(AND(COLUMN()-1=Sheet1!$AF$4, 32-ROW()=Sheet1!$AG$4), 0, 999), IF(COUNTIFS(Sheet1!$AK$1:$AK$50, COLUMN()-1, Sheet1!$AL$1:$AL$50, 32-ROW())&gt;0, 999, IF(AND(COLUMN()-1=Sheet1!$AF$4, 32-ROW()=Sheet1!$AG$4), 0, MIN(T13, U13, V13, T14, V14, T15, U15, V15) + 1)))</f>
        <v>999</v>
      </c>
      <c r="V14">
        <f>IF(Sheet1!$AG$1=1, IF(AND(COLUMN()-1=Sheet1!$AF$4, 32-ROW()=Sheet1!$AG$4), 0, 999), IF(COUNTIFS(Sheet1!$AK$1:$AK$50, COLUMN()-1, Sheet1!$AL$1:$AL$50, 32-ROW())&gt;0, 999, IF(AND(COLUMN()-1=Sheet1!$AF$4, 32-ROW()=Sheet1!$AG$4), 0, MIN(U13, V13, W13, U14, W14, U15, V15, W15) + 1)))</f>
        <v>999</v>
      </c>
      <c r="W14">
        <f>IF(Sheet1!$AG$1=1, IF(AND(COLUMN()-1=Sheet1!$AF$4, 32-ROW()=Sheet1!$AG$4), 0, 999), IF(COUNTIFS(Sheet1!$AK$1:$AK$50, COLUMN()-1, Sheet1!$AL$1:$AL$50, 32-ROW())&gt;0, 999, IF(AND(COLUMN()-1=Sheet1!$AF$4, 32-ROW()=Sheet1!$AG$4), 0, MIN(V13, W13, X13, V14, X14, V15, W15, X15) + 1)))</f>
        <v>999</v>
      </c>
      <c r="X14">
        <f>IF(Sheet1!$AG$1=1, IF(AND(COLUMN()-1=Sheet1!$AF$4, 32-ROW()=Sheet1!$AG$4), 0, 999), IF(COUNTIFS(Sheet1!$AK$1:$AK$50, COLUMN()-1, Sheet1!$AL$1:$AL$50, 32-ROW())&gt;0, 999, IF(AND(COLUMN()-1=Sheet1!$AF$4, 32-ROW()=Sheet1!$AG$4), 0, MIN(W13, X13, Y13, W14, Y14, W15, X15, Y15) + 1)))</f>
        <v>999</v>
      </c>
      <c r="Y14">
        <f>IF(Sheet1!$AG$1=1, IF(AND(COLUMN()-1=Sheet1!$AF$4, 32-ROW()=Sheet1!$AG$4), 0, 999), IF(COUNTIFS(Sheet1!$AK$1:$AK$50, COLUMN()-1, Sheet1!$AL$1:$AL$50, 32-ROW())&gt;0, 999, IF(AND(COLUMN()-1=Sheet1!$AF$4, 32-ROW()=Sheet1!$AG$4), 0, MIN(X13, Y13, Z13, X14, Z14, X15, Y15, Z15) + 1)))</f>
        <v>999</v>
      </c>
      <c r="Z14">
        <f>IF(Sheet1!$AG$1=1, IF(AND(COLUMN()-1=Sheet1!$AF$4, 32-ROW()=Sheet1!$AG$4), 0, 999), IF(COUNTIFS(Sheet1!$AK$1:$AK$50, COLUMN()-1, Sheet1!$AL$1:$AL$50, 32-ROW())&gt;0, 999, IF(AND(COLUMN()-1=Sheet1!$AF$4, 32-ROW()=Sheet1!$AG$4), 0, MIN(Y13, Z13, AA13, Y14, AA14, Y15, Z15, AA15) + 1)))</f>
        <v>999</v>
      </c>
      <c r="AA14">
        <f>IF(Sheet1!$AG$1=1, IF(AND(COLUMN()-1=Sheet1!$AF$4, 32-ROW()=Sheet1!$AG$4), 0, 999), IF(COUNTIFS(Sheet1!$AK$1:$AK$50, COLUMN()-1, Sheet1!$AL$1:$AL$50, 32-ROW())&gt;0, 999, IF(AND(COLUMN()-1=Sheet1!$AF$4, 32-ROW()=Sheet1!$AG$4), 0, MIN(Z13, AA13, AB13, Z14, AB14, Z15, AA15, AB15) + 1)))</f>
        <v>999</v>
      </c>
      <c r="AB14">
        <f>IF(Sheet1!$AG$1=1, IF(AND(COLUMN()-1=Sheet1!$AF$4, 32-ROW()=Sheet1!$AG$4), 0, 999), IF(COUNTIFS(Sheet1!$AK$1:$AK$50, COLUMN()-1, Sheet1!$AL$1:$AL$50, 32-ROW())&gt;0, 999, IF(AND(COLUMN()-1=Sheet1!$AF$4, 32-ROW()=Sheet1!$AG$4), 0, MIN(AA13, AB13, AC13, AA14, AC14, AA15, AB15, AC15) + 1)))</f>
        <v>999</v>
      </c>
      <c r="AC14">
        <f>IF(Sheet1!$AG$1=1, IF(AND(COLUMN()-1=Sheet1!$AF$4, 32-ROW()=Sheet1!$AG$4), 0, 999), IF(COUNTIFS(Sheet1!$AK$1:$AK$50, COLUMN()-1, Sheet1!$AL$1:$AL$50, 32-ROW())&gt;0, 999, IF(AND(COLUMN()-1=Sheet1!$AF$4, 32-ROW()=Sheet1!$AG$4), 0, MIN(AB13, AC13, AD13, AB14, AD14, AB15, AC15, AD15) + 1)))</f>
        <v>999</v>
      </c>
      <c r="AD14">
        <f>IF(Sheet1!$AG$1=1, IF(AND(COLUMN()-1=Sheet1!$AF$4, 32-ROW()=Sheet1!$AG$4), 0, 999), IF(COUNTIFS(Sheet1!$AK$1:$AK$50, COLUMN()-1, Sheet1!$AL$1:$AL$50, 32-ROW())&gt;0, 999, IF(AND(COLUMN()-1=Sheet1!$AF$4, 32-ROW()=Sheet1!$AG$4), 0, MIN(AC13, AD13, AE13, AC14, AE14, AC15, AD15, AE15) + 1)))</f>
        <v>999</v>
      </c>
      <c r="AE14">
        <f>IF(Sheet1!$AG$1=1, IF(AND(COLUMN()-1=Sheet1!$AF$4, 32-ROW()=Sheet1!$AG$4), 0, 999), IF(COUNTIFS(Sheet1!$AK$1:$AK$50, COLUMN()-1, Sheet1!$AL$1:$AL$50, 32-ROW())&gt;0, 999, IF(AND(COLUMN()-1=Sheet1!$AF$4, 32-ROW()=Sheet1!$AG$4), 0, MIN(AD13, AE13, AF13, AD14, AF14, AD15, AE15, AF15) + 1)))</f>
        <v>999</v>
      </c>
      <c r="AF14">
        <v>999</v>
      </c>
    </row>
    <row r="15" spans="1:32">
      <c r="A15">
        <v>999</v>
      </c>
      <c r="B15">
        <f>IF(Sheet1!$AG$1=1, IF(AND(COLUMN()-1=Sheet1!$AF$4, 32-ROW()=Sheet1!$AG$4), 0, 999), IF(COUNTIFS(Sheet1!$AK$1:$AK$50, COLUMN()-1, Sheet1!$AL$1:$AL$50, 32-ROW())&gt;0, 999, IF(AND(COLUMN()-1=Sheet1!$AF$4, 32-ROW()=Sheet1!$AG$4), 0, MIN(A14, B14, C14, A15, C15, A16, B16, C16) + 1)))</f>
        <v>999</v>
      </c>
      <c r="C15">
        <f>IF(Sheet1!$AG$1=1, IF(AND(COLUMN()-1=Sheet1!$AF$4, 32-ROW()=Sheet1!$AG$4), 0, 999), IF(COUNTIFS(Sheet1!$AK$1:$AK$50, COLUMN()-1, Sheet1!$AL$1:$AL$50, 32-ROW())&gt;0, 999, IF(AND(COLUMN()-1=Sheet1!$AF$4, 32-ROW()=Sheet1!$AG$4), 0, MIN(B14, C14, D14, B15, D15, B16, C16, D16) + 1)))</f>
        <v>999</v>
      </c>
      <c r="D15">
        <f>IF(Sheet1!$AG$1=1, IF(AND(COLUMN()-1=Sheet1!$AF$4, 32-ROW()=Sheet1!$AG$4), 0, 999), IF(COUNTIFS(Sheet1!$AK$1:$AK$50, COLUMN()-1, Sheet1!$AL$1:$AL$50, 32-ROW())&gt;0, 999, IF(AND(COLUMN()-1=Sheet1!$AF$4, 32-ROW()=Sheet1!$AG$4), 0, MIN(C14, D14, E14, C15, E15, C16, D16, E16) + 1)))</f>
        <v>999</v>
      </c>
      <c r="E15">
        <f>IF(Sheet1!$AG$1=1, IF(AND(COLUMN()-1=Sheet1!$AF$4, 32-ROW()=Sheet1!$AG$4), 0, 999), IF(COUNTIFS(Sheet1!$AK$1:$AK$50, COLUMN()-1, Sheet1!$AL$1:$AL$50, 32-ROW())&gt;0, 999, IF(AND(COLUMN()-1=Sheet1!$AF$4, 32-ROW()=Sheet1!$AG$4), 0, MIN(D14, E14, F14, D15, F15, D16, E16, F16) + 1)))</f>
        <v>999</v>
      </c>
      <c r="F15">
        <f>IF(Sheet1!$AG$1=1, IF(AND(COLUMN()-1=Sheet1!$AF$4, 32-ROW()=Sheet1!$AG$4), 0, 999), IF(COUNTIFS(Sheet1!$AK$1:$AK$50, COLUMN()-1, Sheet1!$AL$1:$AL$50, 32-ROW())&gt;0, 999, IF(AND(COLUMN()-1=Sheet1!$AF$4, 32-ROW()=Sheet1!$AG$4), 0, MIN(E14, F14, G14, E15, G15, E16, F16, G16) + 1)))</f>
        <v>999</v>
      </c>
      <c r="G15">
        <f>IF(Sheet1!$AG$1=1, IF(AND(COLUMN()-1=Sheet1!$AF$4, 32-ROW()=Sheet1!$AG$4), 0, 999), IF(COUNTIFS(Sheet1!$AK$1:$AK$50, COLUMN()-1, Sheet1!$AL$1:$AL$50, 32-ROW())&gt;0, 999, IF(AND(COLUMN()-1=Sheet1!$AF$4, 32-ROW()=Sheet1!$AG$4), 0, MIN(F14, G14, H14, F15, H15, F16, G16, H16) + 1)))</f>
        <v>999</v>
      </c>
      <c r="H15">
        <f>IF(Sheet1!$AG$1=1, IF(AND(COLUMN()-1=Sheet1!$AF$4, 32-ROW()=Sheet1!$AG$4), 0, 999), IF(COUNTIFS(Sheet1!$AK$1:$AK$50, COLUMN()-1, Sheet1!$AL$1:$AL$50, 32-ROW())&gt;0, 999, IF(AND(COLUMN()-1=Sheet1!$AF$4, 32-ROW()=Sheet1!$AG$4), 0, MIN(G14, H14, I14, G15, I15, G16, H16, I16) + 1)))</f>
        <v>999</v>
      </c>
      <c r="I15">
        <f>IF(Sheet1!$AG$1=1, IF(AND(COLUMN()-1=Sheet1!$AF$4, 32-ROW()=Sheet1!$AG$4), 0, 999), IF(COUNTIFS(Sheet1!$AK$1:$AK$50, COLUMN()-1, Sheet1!$AL$1:$AL$50, 32-ROW())&gt;0, 999, IF(AND(COLUMN()-1=Sheet1!$AF$4, 32-ROW()=Sheet1!$AG$4), 0, MIN(H14, I14, J14, H15, J15, H16, I16, J16) + 1)))</f>
        <v>999</v>
      </c>
      <c r="J15">
        <f>IF(Sheet1!$AG$1=1, IF(AND(COLUMN()-1=Sheet1!$AF$4, 32-ROW()=Sheet1!$AG$4), 0, 999), IF(COUNTIFS(Sheet1!$AK$1:$AK$50, COLUMN()-1, Sheet1!$AL$1:$AL$50, 32-ROW())&gt;0, 999, IF(AND(COLUMN()-1=Sheet1!$AF$4, 32-ROW()=Sheet1!$AG$4), 0, MIN(I14, J14, K14, I15, K15, I16, J16, K16) + 1)))</f>
        <v>999</v>
      </c>
      <c r="K15">
        <f>IF(Sheet1!$AG$1=1, IF(AND(COLUMN()-1=Sheet1!$AF$4, 32-ROW()=Sheet1!$AG$4), 0, 999), IF(COUNTIFS(Sheet1!$AK$1:$AK$50, COLUMN()-1, Sheet1!$AL$1:$AL$50, 32-ROW())&gt;0, 999, IF(AND(COLUMN()-1=Sheet1!$AF$4, 32-ROW()=Sheet1!$AG$4), 0, MIN(J14, K14, L14, J15, L15, J16, K16, L16) + 1)))</f>
        <v>999</v>
      </c>
      <c r="L15">
        <f>IF(Sheet1!$AG$1=1, IF(AND(COLUMN()-1=Sheet1!$AF$4, 32-ROW()=Sheet1!$AG$4), 0, 999), IF(COUNTIFS(Sheet1!$AK$1:$AK$50, COLUMN()-1, Sheet1!$AL$1:$AL$50, 32-ROW())&gt;0, 999, IF(AND(COLUMN()-1=Sheet1!$AF$4, 32-ROW()=Sheet1!$AG$4), 0, MIN(K14, L14, M14, K15, M15, K16, L16, M16) + 1)))</f>
        <v>999</v>
      </c>
      <c r="M15">
        <f>IF(Sheet1!$AG$1=1, IF(AND(COLUMN()-1=Sheet1!$AF$4, 32-ROW()=Sheet1!$AG$4), 0, 999), IF(COUNTIFS(Sheet1!$AK$1:$AK$50, COLUMN()-1, Sheet1!$AL$1:$AL$50, 32-ROW())&gt;0, 999, IF(AND(COLUMN()-1=Sheet1!$AF$4, 32-ROW()=Sheet1!$AG$4), 0, MIN(L14, M14, N14, L15, N15, L16, M16, N16) + 1)))</f>
        <v>999</v>
      </c>
      <c r="N15">
        <f>IF(Sheet1!$AG$1=1, IF(AND(COLUMN()-1=Sheet1!$AF$4, 32-ROW()=Sheet1!$AG$4), 0, 999), IF(COUNTIFS(Sheet1!$AK$1:$AK$50, COLUMN()-1, Sheet1!$AL$1:$AL$50, 32-ROW())&gt;0, 999, IF(AND(COLUMN()-1=Sheet1!$AF$4, 32-ROW()=Sheet1!$AG$4), 0, MIN(M14, N14, O14, M15, O15, M16, N16, O16) + 1)))</f>
        <v>999</v>
      </c>
      <c r="O15">
        <f>IF(Sheet1!$AG$1=1, IF(AND(COLUMN()-1=Sheet1!$AF$4, 32-ROW()=Sheet1!$AG$4), 0, 999), IF(COUNTIFS(Sheet1!$AK$1:$AK$50, COLUMN()-1, Sheet1!$AL$1:$AL$50, 32-ROW())&gt;0, 999, IF(AND(COLUMN()-1=Sheet1!$AF$4, 32-ROW()=Sheet1!$AG$4), 0, MIN(N14, O14, P14, N15, P15, N16, O16, P16) + 1)))</f>
        <v>999</v>
      </c>
      <c r="P15">
        <f>IF(Sheet1!$AG$1=1, IF(AND(COLUMN()-1=Sheet1!$AF$4, 32-ROW()=Sheet1!$AG$4), 0, 999), IF(COUNTIFS(Sheet1!$AK$1:$AK$50, COLUMN()-1, Sheet1!$AL$1:$AL$50, 32-ROW())&gt;0, 999, IF(AND(COLUMN()-1=Sheet1!$AF$4, 32-ROW()=Sheet1!$AG$4), 0, MIN(O14, P14, Q14, O15, Q15, O16, P16, Q16) + 1)))</f>
        <v>999</v>
      </c>
      <c r="Q15">
        <f>IF(Sheet1!$AG$1=1, IF(AND(COLUMN()-1=Sheet1!$AF$4, 32-ROW()=Sheet1!$AG$4), 0, 999), IF(COUNTIFS(Sheet1!$AK$1:$AK$50, COLUMN()-1, Sheet1!$AL$1:$AL$50, 32-ROW())&gt;0, 999, IF(AND(COLUMN()-1=Sheet1!$AF$4, 32-ROW()=Sheet1!$AG$4), 0, MIN(P14, Q14, R14, P15, R15, P16, Q16, R16) + 1)))</f>
        <v>999</v>
      </c>
      <c r="R15">
        <f>IF(Sheet1!$AG$1=1, IF(AND(COLUMN()-1=Sheet1!$AF$4, 32-ROW()=Sheet1!$AG$4), 0, 999), IF(COUNTIFS(Sheet1!$AK$1:$AK$50, COLUMN()-1, Sheet1!$AL$1:$AL$50, 32-ROW())&gt;0, 999, IF(AND(COLUMN()-1=Sheet1!$AF$4, 32-ROW()=Sheet1!$AG$4), 0, MIN(Q14, R14, S14, Q15, S15, Q16, R16, S16) + 1)))</f>
        <v>999</v>
      </c>
      <c r="S15">
        <f>IF(Sheet1!$AG$1=1, IF(AND(COLUMN()-1=Sheet1!$AF$4, 32-ROW()=Sheet1!$AG$4), 0, 999), IF(COUNTIFS(Sheet1!$AK$1:$AK$50, COLUMN()-1, Sheet1!$AL$1:$AL$50, 32-ROW())&gt;0, 999, IF(AND(COLUMN()-1=Sheet1!$AF$4, 32-ROW()=Sheet1!$AG$4), 0, MIN(R14, S14, T14, R15, T15, R16, S16, T16) + 1)))</f>
        <v>999</v>
      </c>
      <c r="T15">
        <f>IF(Sheet1!$AG$1=1, IF(AND(COLUMN()-1=Sheet1!$AF$4, 32-ROW()=Sheet1!$AG$4), 0, 999), IF(COUNTIFS(Sheet1!$AK$1:$AK$50, COLUMN()-1, Sheet1!$AL$1:$AL$50, 32-ROW())&gt;0, 999, IF(AND(COLUMN()-1=Sheet1!$AF$4, 32-ROW()=Sheet1!$AG$4), 0, MIN(S14, T14, U14, S15, U15, S16, T16, U16) + 1)))</f>
        <v>999</v>
      </c>
      <c r="U15">
        <f>IF(Sheet1!$AG$1=1, IF(AND(COLUMN()-1=Sheet1!$AF$4, 32-ROW()=Sheet1!$AG$4), 0, 999), IF(COUNTIFS(Sheet1!$AK$1:$AK$50, COLUMN()-1, Sheet1!$AL$1:$AL$50, 32-ROW())&gt;0, 999, IF(AND(COLUMN()-1=Sheet1!$AF$4, 32-ROW()=Sheet1!$AG$4), 0, MIN(T14, U14, V14, T15, V15, T16, U16, V16) + 1)))</f>
        <v>999</v>
      </c>
      <c r="V15">
        <f>IF(Sheet1!$AG$1=1, IF(AND(COLUMN()-1=Sheet1!$AF$4, 32-ROW()=Sheet1!$AG$4), 0, 999), IF(COUNTIFS(Sheet1!$AK$1:$AK$50, COLUMN()-1, Sheet1!$AL$1:$AL$50, 32-ROW())&gt;0, 999, IF(AND(COLUMN()-1=Sheet1!$AF$4, 32-ROW()=Sheet1!$AG$4), 0, MIN(U14, V14, W14, U15, W15, U16, V16, W16) + 1)))</f>
        <v>999</v>
      </c>
      <c r="W15">
        <f>IF(Sheet1!$AG$1=1, IF(AND(COLUMN()-1=Sheet1!$AF$4, 32-ROW()=Sheet1!$AG$4), 0, 999), IF(COUNTIFS(Sheet1!$AK$1:$AK$50, COLUMN()-1, Sheet1!$AL$1:$AL$50, 32-ROW())&gt;0, 999, IF(AND(COLUMN()-1=Sheet1!$AF$4, 32-ROW()=Sheet1!$AG$4), 0, MIN(V14, W14, X14, V15, X15, V16, W16, X16) + 1)))</f>
        <v>999</v>
      </c>
      <c r="X15">
        <f>IF(Sheet1!$AG$1=1, IF(AND(COLUMN()-1=Sheet1!$AF$4, 32-ROW()=Sheet1!$AG$4), 0, 999), IF(COUNTIFS(Sheet1!$AK$1:$AK$50, COLUMN()-1, Sheet1!$AL$1:$AL$50, 32-ROW())&gt;0, 999, IF(AND(COLUMN()-1=Sheet1!$AF$4, 32-ROW()=Sheet1!$AG$4), 0, MIN(W14, X14, Y14, W15, Y15, W16, X16, Y16) + 1)))</f>
        <v>999</v>
      </c>
      <c r="Y15">
        <f>IF(Sheet1!$AG$1=1, IF(AND(COLUMN()-1=Sheet1!$AF$4, 32-ROW()=Sheet1!$AG$4), 0, 999), IF(COUNTIFS(Sheet1!$AK$1:$AK$50, COLUMN()-1, Sheet1!$AL$1:$AL$50, 32-ROW())&gt;0, 999, IF(AND(COLUMN()-1=Sheet1!$AF$4, 32-ROW()=Sheet1!$AG$4), 0, MIN(X14, Y14, Z14, X15, Z15, X16, Y16, Z16) + 1)))</f>
        <v>999</v>
      </c>
      <c r="Z15">
        <f>IF(Sheet1!$AG$1=1, IF(AND(COLUMN()-1=Sheet1!$AF$4, 32-ROW()=Sheet1!$AG$4), 0, 999), IF(COUNTIFS(Sheet1!$AK$1:$AK$50, COLUMN()-1, Sheet1!$AL$1:$AL$50, 32-ROW())&gt;0, 999, IF(AND(COLUMN()-1=Sheet1!$AF$4, 32-ROW()=Sheet1!$AG$4), 0, MIN(Y14, Z14, AA14, Y15, AA15, Y16, Z16, AA16) + 1)))</f>
        <v>999</v>
      </c>
      <c r="AA15">
        <f>IF(Sheet1!$AG$1=1, IF(AND(COLUMN()-1=Sheet1!$AF$4, 32-ROW()=Sheet1!$AG$4), 0, 999), IF(COUNTIFS(Sheet1!$AK$1:$AK$50, COLUMN()-1, Sheet1!$AL$1:$AL$50, 32-ROW())&gt;0, 999, IF(AND(COLUMN()-1=Sheet1!$AF$4, 32-ROW()=Sheet1!$AG$4), 0, MIN(Z14, AA14, AB14, Z15, AB15, Z16, AA16, AB16) + 1)))</f>
        <v>999</v>
      </c>
      <c r="AB15">
        <f>IF(Sheet1!$AG$1=1, IF(AND(COLUMN()-1=Sheet1!$AF$4, 32-ROW()=Sheet1!$AG$4), 0, 999), IF(COUNTIFS(Sheet1!$AK$1:$AK$50, COLUMN()-1, Sheet1!$AL$1:$AL$50, 32-ROW())&gt;0, 999, IF(AND(COLUMN()-1=Sheet1!$AF$4, 32-ROW()=Sheet1!$AG$4), 0, MIN(AA14, AB14, AC14, AA15, AC15, AA16, AB16, AC16) + 1)))</f>
        <v>999</v>
      </c>
      <c r="AC15">
        <f>IF(Sheet1!$AG$1=1, IF(AND(COLUMN()-1=Sheet1!$AF$4, 32-ROW()=Sheet1!$AG$4), 0, 999), IF(COUNTIFS(Sheet1!$AK$1:$AK$50, COLUMN()-1, Sheet1!$AL$1:$AL$50, 32-ROW())&gt;0, 999, IF(AND(COLUMN()-1=Sheet1!$AF$4, 32-ROW()=Sheet1!$AG$4), 0, MIN(AB14, AC14, AD14, AB15, AD15, AB16, AC16, AD16) + 1)))</f>
        <v>999</v>
      </c>
      <c r="AD15">
        <f>IF(Sheet1!$AG$1=1, IF(AND(COLUMN()-1=Sheet1!$AF$4, 32-ROW()=Sheet1!$AG$4), 0, 999), IF(COUNTIFS(Sheet1!$AK$1:$AK$50, COLUMN()-1, Sheet1!$AL$1:$AL$50, 32-ROW())&gt;0, 999, IF(AND(COLUMN()-1=Sheet1!$AF$4, 32-ROW()=Sheet1!$AG$4), 0, MIN(AC14, AD14, AE14, AC15, AE15, AC16, AD16, AE16) + 1)))</f>
        <v>999</v>
      </c>
      <c r="AE15">
        <f>IF(Sheet1!$AG$1=1, IF(AND(COLUMN()-1=Sheet1!$AF$4, 32-ROW()=Sheet1!$AG$4), 0, 999), IF(COUNTIFS(Sheet1!$AK$1:$AK$50, COLUMN()-1, Sheet1!$AL$1:$AL$50, 32-ROW())&gt;0, 999, IF(AND(COLUMN()-1=Sheet1!$AF$4, 32-ROW()=Sheet1!$AG$4), 0, MIN(AD14, AE14, AF14, AD15, AF15, AD16, AE16, AF16) + 1)))</f>
        <v>999</v>
      </c>
      <c r="AF15">
        <v>999</v>
      </c>
    </row>
    <row r="16" spans="1:32">
      <c r="A16">
        <v>999</v>
      </c>
      <c r="B16">
        <f>IF(Sheet1!$AG$1=1, IF(AND(COLUMN()-1=Sheet1!$AF$4, 32-ROW()=Sheet1!$AG$4), 0, 999), IF(COUNTIFS(Sheet1!$AK$1:$AK$50, COLUMN()-1, Sheet1!$AL$1:$AL$50, 32-ROW())&gt;0, 999, IF(AND(COLUMN()-1=Sheet1!$AF$4, 32-ROW()=Sheet1!$AG$4), 0, MIN(A15, B15, C15, A16, C16, A17, B17, C17) + 1)))</f>
        <v>999</v>
      </c>
      <c r="C16">
        <f>IF(Sheet1!$AG$1=1, IF(AND(COLUMN()-1=Sheet1!$AF$4, 32-ROW()=Sheet1!$AG$4), 0, 999), IF(COUNTIFS(Sheet1!$AK$1:$AK$50, COLUMN()-1, Sheet1!$AL$1:$AL$50, 32-ROW())&gt;0, 999, IF(AND(COLUMN()-1=Sheet1!$AF$4, 32-ROW()=Sheet1!$AG$4), 0, MIN(B15, C15, D15, B16, D16, B17, C17, D17) + 1)))</f>
        <v>999</v>
      </c>
      <c r="D16">
        <f>IF(Sheet1!$AG$1=1, IF(AND(COLUMN()-1=Sheet1!$AF$4, 32-ROW()=Sheet1!$AG$4), 0, 999), IF(COUNTIFS(Sheet1!$AK$1:$AK$50, COLUMN()-1, Sheet1!$AL$1:$AL$50, 32-ROW())&gt;0, 999, IF(AND(COLUMN()-1=Sheet1!$AF$4, 32-ROW()=Sheet1!$AG$4), 0, MIN(C15, D15, E15, C16, E16, C17, D17, E17) + 1)))</f>
        <v>999</v>
      </c>
      <c r="E16">
        <f>IF(Sheet1!$AG$1=1, IF(AND(COLUMN()-1=Sheet1!$AF$4, 32-ROW()=Sheet1!$AG$4), 0, 999), IF(COUNTIFS(Sheet1!$AK$1:$AK$50, COLUMN()-1, Sheet1!$AL$1:$AL$50, 32-ROW())&gt;0, 999, IF(AND(COLUMN()-1=Sheet1!$AF$4, 32-ROW()=Sheet1!$AG$4), 0, MIN(D15, E15, F15, D16, F16, D17, E17, F17) + 1)))</f>
        <v>999</v>
      </c>
      <c r="F16">
        <f>IF(Sheet1!$AG$1=1, IF(AND(COLUMN()-1=Sheet1!$AF$4, 32-ROW()=Sheet1!$AG$4), 0, 999), IF(COUNTIFS(Sheet1!$AK$1:$AK$50, COLUMN()-1, Sheet1!$AL$1:$AL$50, 32-ROW())&gt;0, 999, IF(AND(COLUMN()-1=Sheet1!$AF$4, 32-ROW()=Sheet1!$AG$4), 0, MIN(E15, F15, G15, E16, G16, E17, F17, G17) + 1)))</f>
        <v>999</v>
      </c>
      <c r="G16">
        <f>IF(Sheet1!$AG$1=1, IF(AND(COLUMN()-1=Sheet1!$AF$4, 32-ROW()=Sheet1!$AG$4), 0, 999), IF(COUNTIFS(Sheet1!$AK$1:$AK$50, COLUMN()-1, Sheet1!$AL$1:$AL$50, 32-ROW())&gt;0, 999, IF(AND(COLUMN()-1=Sheet1!$AF$4, 32-ROW()=Sheet1!$AG$4), 0, MIN(F15, G15, H15, F16, H16, F17, G17, H17) + 1)))</f>
        <v>999</v>
      </c>
      <c r="H16">
        <f>IF(Sheet1!$AG$1=1, IF(AND(COLUMN()-1=Sheet1!$AF$4, 32-ROW()=Sheet1!$AG$4), 0, 999), IF(COUNTIFS(Sheet1!$AK$1:$AK$50, COLUMN()-1, Sheet1!$AL$1:$AL$50, 32-ROW())&gt;0, 999, IF(AND(COLUMN()-1=Sheet1!$AF$4, 32-ROW()=Sheet1!$AG$4), 0, MIN(G15, H15, I15, G16, I16, G17, H17, I17) + 1)))</f>
        <v>999</v>
      </c>
      <c r="I16">
        <f>IF(Sheet1!$AG$1=1, IF(AND(COLUMN()-1=Sheet1!$AF$4, 32-ROW()=Sheet1!$AG$4), 0, 999), IF(COUNTIFS(Sheet1!$AK$1:$AK$50, COLUMN()-1, Sheet1!$AL$1:$AL$50, 32-ROW())&gt;0, 999, IF(AND(COLUMN()-1=Sheet1!$AF$4, 32-ROW()=Sheet1!$AG$4), 0, MIN(H15, I15, J15, H16, J16, H17, I17, J17) + 1)))</f>
        <v>999</v>
      </c>
      <c r="J16">
        <f>IF(Sheet1!$AG$1=1, IF(AND(COLUMN()-1=Sheet1!$AF$4, 32-ROW()=Sheet1!$AG$4), 0, 999), IF(COUNTIFS(Sheet1!$AK$1:$AK$50, COLUMN()-1, Sheet1!$AL$1:$AL$50, 32-ROW())&gt;0, 999, IF(AND(COLUMN()-1=Sheet1!$AF$4, 32-ROW()=Sheet1!$AG$4), 0, MIN(I15, J15, K15, I16, K16, I17, J17, K17) + 1)))</f>
        <v>999</v>
      </c>
      <c r="K16">
        <f>IF(Sheet1!$AG$1=1, IF(AND(COLUMN()-1=Sheet1!$AF$4, 32-ROW()=Sheet1!$AG$4), 0, 999), IF(COUNTIFS(Sheet1!$AK$1:$AK$50, COLUMN()-1, Sheet1!$AL$1:$AL$50, 32-ROW())&gt;0, 999, IF(AND(COLUMN()-1=Sheet1!$AF$4, 32-ROW()=Sheet1!$AG$4), 0, MIN(J15, K15, L15, J16, L16, J17, K17, L17) + 1)))</f>
        <v>999</v>
      </c>
      <c r="L16">
        <f>IF(Sheet1!$AG$1=1, IF(AND(COLUMN()-1=Sheet1!$AF$4, 32-ROW()=Sheet1!$AG$4), 0, 999), IF(COUNTIFS(Sheet1!$AK$1:$AK$50, COLUMN()-1, Sheet1!$AL$1:$AL$50, 32-ROW())&gt;0, 999, IF(AND(COLUMN()-1=Sheet1!$AF$4, 32-ROW()=Sheet1!$AG$4), 0, MIN(K15, L15, M15, K16, M16, K17, L17, M17) + 1)))</f>
        <v>999</v>
      </c>
      <c r="M16">
        <f>IF(Sheet1!$AG$1=1, IF(AND(COLUMN()-1=Sheet1!$AF$4, 32-ROW()=Sheet1!$AG$4), 0, 999), IF(COUNTIFS(Sheet1!$AK$1:$AK$50, COLUMN()-1, Sheet1!$AL$1:$AL$50, 32-ROW())&gt;0, 999, IF(AND(COLUMN()-1=Sheet1!$AF$4, 32-ROW()=Sheet1!$AG$4), 0, MIN(L15, M15, N15, L16, N16, L17, M17, N17) + 1)))</f>
        <v>999</v>
      </c>
      <c r="N16">
        <f>IF(Sheet1!$AG$1=1, IF(AND(COLUMN()-1=Sheet1!$AF$4, 32-ROW()=Sheet1!$AG$4), 0, 999), IF(COUNTIFS(Sheet1!$AK$1:$AK$50, COLUMN()-1, Sheet1!$AL$1:$AL$50, 32-ROW())&gt;0, 999, IF(AND(COLUMN()-1=Sheet1!$AF$4, 32-ROW()=Sheet1!$AG$4), 0, MIN(M15, N15, O15, M16, O16, M17, N17, O17) + 1)))</f>
        <v>999</v>
      </c>
      <c r="O16">
        <f>IF(Sheet1!$AG$1=1, IF(AND(COLUMN()-1=Sheet1!$AF$4, 32-ROW()=Sheet1!$AG$4), 0, 999), IF(COUNTIFS(Sheet1!$AK$1:$AK$50, COLUMN()-1, Sheet1!$AL$1:$AL$50, 32-ROW())&gt;0, 999, IF(AND(COLUMN()-1=Sheet1!$AF$4, 32-ROW()=Sheet1!$AG$4), 0, MIN(N15, O15, P15, N16, P16, N17, O17, P17) + 1)))</f>
        <v>999</v>
      </c>
      <c r="P16">
        <f>IF(Sheet1!$AG$1=1, IF(AND(COLUMN()-1=Sheet1!$AF$4, 32-ROW()=Sheet1!$AG$4), 0, 999), IF(COUNTIFS(Sheet1!$AK$1:$AK$50, COLUMN()-1, Sheet1!$AL$1:$AL$50, 32-ROW())&gt;0, 999, IF(AND(COLUMN()-1=Sheet1!$AF$4, 32-ROW()=Sheet1!$AG$4), 0, MIN(O15, P15, Q15, O16, Q16, O17, P17, Q17) + 1)))</f>
        <v>999</v>
      </c>
      <c r="Q16">
        <f>IF(Sheet1!$AG$1=1, IF(AND(COLUMN()-1=Sheet1!$AF$4, 32-ROW()=Sheet1!$AG$4), 0, 999), IF(COUNTIFS(Sheet1!$AK$1:$AK$50, COLUMN()-1, Sheet1!$AL$1:$AL$50, 32-ROW())&gt;0, 999, IF(AND(COLUMN()-1=Sheet1!$AF$4, 32-ROW()=Sheet1!$AG$4), 0, MIN(P15, Q15, R15, P16, R16, P17, Q17, R17) + 1)))</f>
        <v>999</v>
      </c>
      <c r="R16">
        <f>IF(Sheet1!$AG$1=1, IF(AND(COLUMN()-1=Sheet1!$AF$4, 32-ROW()=Sheet1!$AG$4), 0, 999), IF(COUNTIFS(Sheet1!$AK$1:$AK$50, COLUMN()-1, Sheet1!$AL$1:$AL$50, 32-ROW())&gt;0, 999, IF(AND(COLUMN()-1=Sheet1!$AF$4, 32-ROW()=Sheet1!$AG$4), 0, MIN(Q15, R15, S15, Q16, S16, Q17, R17, S17) + 1)))</f>
        <v>999</v>
      </c>
      <c r="S16">
        <f>IF(Sheet1!$AG$1=1, IF(AND(COLUMN()-1=Sheet1!$AF$4, 32-ROW()=Sheet1!$AG$4), 0, 999), IF(COUNTIFS(Sheet1!$AK$1:$AK$50, COLUMN()-1, Sheet1!$AL$1:$AL$50, 32-ROW())&gt;0, 999, IF(AND(COLUMN()-1=Sheet1!$AF$4, 32-ROW()=Sheet1!$AG$4), 0, MIN(R15, S15, T15, R16, T16, R17, S17, T17) + 1)))</f>
        <v>999</v>
      </c>
      <c r="T16">
        <f>IF(Sheet1!$AG$1=1, IF(AND(COLUMN()-1=Sheet1!$AF$4, 32-ROW()=Sheet1!$AG$4), 0, 999), IF(COUNTIFS(Sheet1!$AK$1:$AK$50, COLUMN()-1, Sheet1!$AL$1:$AL$50, 32-ROW())&gt;0, 999, IF(AND(COLUMN()-1=Sheet1!$AF$4, 32-ROW()=Sheet1!$AG$4), 0, MIN(S15, T15, U15, S16, U16, S17, T17, U17) + 1)))</f>
        <v>999</v>
      </c>
      <c r="U16">
        <f>IF(Sheet1!$AG$1=1, IF(AND(COLUMN()-1=Sheet1!$AF$4, 32-ROW()=Sheet1!$AG$4), 0, 999), IF(COUNTIFS(Sheet1!$AK$1:$AK$50, COLUMN()-1, Sheet1!$AL$1:$AL$50, 32-ROW())&gt;0, 999, IF(AND(COLUMN()-1=Sheet1!$AF$4, 32-ROW()=Sheet1!$AG$4), 0, MIN(T15, U15, V15, T16, V16, T17, U17, V17) + 1)))</f>
        <v>999</v>
      </c>
      <c r="V16">
        <f>IF(Sheet1!$AG$1=1, IF(AND(COLUMN()-1=Sheet1!$AF$4, 32-ROW()=Sheet1!$AG$4), 0, 999), IF(COUNTIFS(Sheet1!$AK$1:$AK$50, COLUMN()-1, Sheet1!$AL$1:$AL$50, 32-ROW())&gt;0, 999, IF(AND(COLUMN()-1=Sheet1!$AF$4, 32-ROW()=Sheet1!$AG$4), 0, MIN(U15, V15, W15, U16, W16, U17, V17, W17) + 1)))</f>
        <v>999</v>
      </c>
      <c r="W16">
        <f>IF(Sheet1!$AG$1=1, IF(AND(COLUMN()-1=Sheet1!$AF$4, 32-ROW()=Sheet1!$AG$4), 0, 999), IF(COUNTIFS(Sheet1!$AK$1:$AK$50, COLUMN()-1, Sheet1!$AL$1:$AL$50, 32-ROW())&gt;0, 999, IF(AND(COLUMN()-1=Sheet1!$AF$4, 32-ROW()=Sheet1!$AG$4), 0, MIN(V15, W15, X15, V16, X16, V17, W17, X17) + 1)))</f>
        <v>999</v>
      </c>
      <c r="X16">
        <f>IF(Sheet1!$AG$1=1, IF(AND(COLUMN()-1=Sheet1!$AF$4, 32-ROW()=Sheet1!$AG$4), 0, 999), IF(COUNTIFS(Sheet1!$AK$1:$AK$50, COLUMN()-1, Sheet1!$AL$1:$AL$50, 32-ROW())&gt;0, 999, IF(AND(COLUMN()-1=Sheet1!$AF$4, 32-ROW()=Sheet1!$AG$4), 0, MIN(W15, X15, Y15, W16, Y16, W17, X17, Y17) + 1)))</f>
        <v>999</v>
      </c>
      <c r="Y16">
        <f>IF(Sheet1!$AG$1=1, IF(AND(COLUMN()-1=Sheet1!$AF$4, 32-ROW()=Sheet1!$AG$4), 0, 999), IF(COUNTIFS(Sheet1!$AK$1:$AK$50, COLUMN()-1, Sheet1!$AL$1:$AL$50, 32-ROW())&gt;0, 999, IF(AND(COLUMN()-1=Sheet1!$AF$4, 32-ROW()=Sheet1!$AG$4), 0, MIN(X15, Y15, Z15, X16, Z16, X17, Y17, Z17) + 1)))</f>
        <v>999</v>
      </c>
      <c r="Z16">
        <f>IF(Sheet1!$AG$1=1, IF(AND(COLUMN()-1=Sheet1!$AF$4, 32-ROW()=Sheet1!$AG$4), 0, 999), IF(COUNTIFS(Sheet1!$AK$1:$AK$50, COLUMN()-1, Sheet1!$AL$1:$AL$50, 32-ROW())&gt;0, 999, IF(AND(COLUMN()-1=Sheet1!$AF$4, 32-ROW()=Sheet1!$AG$4), 0, MIN(Y15, Z15, AA15, Y16, AA16, Y17, Z17, AA17) + 1)))</f>
        <v>999</v>
      </c>
      <c r="AA16">
        <f>IF(Sheet1!$AG$1=1, IF(AND(COLUMN()-1=Sheet1!$AF$4, 32-ROW()=Sheet1!$AG$4), 0, 999), IF(COUNTIFS(Sheet1!$AK$1:$AK$50, COLUMN()-1, Sheet1!$AL$1:$AL$50, 32-ROW())&gt;0, 999, IF(AND(COLUMN()-1=Sheet1!$AF$4, 32-ROW()=Sheet1!$AG$4), 0, MIN(Z15, AA15, AB15, Z16, AB16, Z17, AA17, AB17) + 1)))</f>
        <v>999</v>
      </c>
      <c r="AB16">
        <f>IF(Sheet1!$AG$1=1, IF(AND(COLUMN()-1=Sheet1!$AF$4, 32-ROW()=Sheet1!$AG$4), 0, 999), IF(COUNTIFS(Sheet1!$AK$1:$AK$50, COLUMN()-1, Sheet1!$AL$1:$AL$50, 32-ROW())&gt;0, 999, IF(AND(COLUMN()-1=Sheet1!$AF$4, 32-ROW()=Sheet1!$AG$4), 0, MIN(AA15, AB15, AC15, AA16, AC16, AA17, AB17, AC17) + 1)))</f>
        <v>999</v>
      </c>
      <c r="AC16">
        <f>IF(Sheet1!$AG$1=1, IF(AND(COLUMN()-1=Sheet1!$AF$4, 32-ROW()=Sheet1!$AG$4), 0, 999), IF(COUNTIFS(Sheet1!$AK$1:$AK$50, COLUMN()-1, Sheet1!$AL$1:$AL$50, 32-ROW())&gt;0, 999, IF(AND(COLUMN()-1=Sheet1!$AF$4, 32-ROW()=Sheet1!$AG$4), 0, MIN(AB15, AC15, AD15, AB16, AD16, AB17, AC17, AD17) + 1)))</f>
        <v>999</v>
      </c>
      <c r="AD16">
        <f>IF(Sheet1!$AG$1=1, IF(AND(COLUMN()-1=Sheet1!$AF$4, 32-ROW()=Sheet1!$AG$4), 0, 999), IF(COUNTIFS(Sheet1!$AK$1:$AK$50, COLUMN()-1, Sheet1!$AL$1:$AL$50, 32-ROW())&gt;0, 999, IF(AND(COLUMN()-1=Sheet1!$AF$4, 32-ROW()=Sheet1!$AG$4), 0, MIN(AC15, AD15, AE15, AC16, AE16, AC17, AD17, AE17) + 1)))</f>
        <v>999</v>
      </c>
      <c r="AE16">
        <f>IF(Sheet1!$AG$1=1, IF(AND(COLUMN()-1=Sheet1!$AF$4, 32-ROW()=Sheet1!$AG$4), 0, 999), IF(COUNTIFS(Sheet1!$AK$1:$AK$50, COLUMN()-1, Sheet1!$AL$1:$AL$50, 32-ROW())&gt;0, 999, IF(AND(COLUMN()-1=Sheet1!$AF$4, 32-ROW()=Sheet1!$AG$4), 0, MIN(AD15, AE15, AF15, AD16, AF16, AD17, AE17, AF17) + 1)))</f>
        <v>999</v>
      </c>
      <c r="AF16">
        <v>999</v>
      </c>
    </row>
    <row r="17" spans="1:32">
      <c r="A17">
        <v>999</v>
      </c>
      <c r="B17">
        <f>IF(Sheet1!$AG$1=1, IF(AND(COLUMN()-1=Sheet1!$AF$4, 32-ROW()=Sheet1!$AG$4), 0, 999), IF(COUNTIFS(Sheet1!$AK$1:$AK$50, COLUMN()-1, Sheet1!$AL$1:$AL$50, 32-ROW())&gt;0, 999, IF(AND(COLUMN()-1=Sheet1!$AF$4, 32-ROW()=Sheet1!$AG$4), 0, MIN(A16, B16, C16, A17, C17, A18, B18, C18) + 1)))</f>
        <v>999</v>
      </c>
      <c r="C17">
        <f>IF(Sheet1!$AG$1=1, IF(AND(COLUMN()-1=Sheet1!$AF$4, 32-ROW()=Sheet1!$AG$4), 0, 999), IF(COUNTIFS(Sheet1!$AK$1:$AK$50, COLUMN()-1, Sheet1!$AL$1:$AL$50, 32-ROW())&gt;0, 999, IF(AND(COLUMN()-1=Sheet1!$AF$4, 32-ROW()=Sheet1!$AG$4), 0, MIN(B16, C16, D16, B17, D17, B18, C18, D18) + 1)))</f>
        <v>999</v>
      </c>
      <c r="D17">
        <f>IF(Sheet1!$AG$1=1, IF(AND(COLUMN()-1=Sheet1!$AF$4, 32-ROW()=Sheet1!$AG$4), 0, 999), IF(COUNTIFS(Sheet1!$AK$1:$AK$50, COLUMN()-1, Sheet1!$AL$1:$AL$50, 32-ROW())&gt;0, 999, IF(AND(COLUMN()-1=Sheet1!$AF$4, 32-ROW()=Sheet1!$AG$4), 0, MIN(C16, D16, E16, C17, E17, C18, D18, E18) + 1)))</f>
        <v>999</v>
      </c>
      <c r="E17">
        <f>IF(Sheet1!$AG$1=1, IF(AND(COLUMN()-1=Sheet1!$AF$4, 32-ROW()=Sheet1!$AG$4), 0, 999), IF(COUNTIFS(Sheet1!$AK$1:$AK$50, COLUMN()-1, Sheet1!$AL$1:$AL$50, 32-ROW())&gt;0, 999, IF(AND(COLUMN()-1=Sheet1!$AF$4, 32-ROW()=Sheet1!$AG$4), 0, MIN(D16, E16, F16, D17, F17, D18, E18, F18) + 1)))</f>
        <v>999</v>
      </c>
      <c r="F17">
        <f>IF(Sheet1!$AG$1=1, IF(AND(COLUMN()-1=Sheet1!$AF$4, 32-ROW()=Sheet1!$AG$4), 0, 999), IF(COUNTIFS(Sheet1!$AK$1:$AK$50, COLUMN()-1, Sheet1!$AL$1:$AL$50, 32-ROW())&gt;0, 999, IF(AND(COLUMN()-1=Sheet1!$AF$4, 32-ROW()=Sheet1!$AG$4), 0, MIN(E16, F16, G16, E17, G17, E18, F18, G18) + 1)))</f>
        <v>999</v>
      </c>
      <c r="G17">
        <f>IF(Sheet1!$AG$1=1, IF(AND(COLUMN()-1=Sheet1!$AF$4, 32-ROW()=Sheet1!$AG$4), 0, 999), IF(COUNTIFS(Sheet1!$AK$1:$AK$50, COLUMN()-1, Sheet1!$AL$1:$AL$50, 32-ROW())&gt;0, 999, IF(AND(COLUMN()-1=Sheet1!$AF$4, 32-ROW()=Sheet1!$AG$4), 0, MIN(F16, G16, H16, F17, H17, F18, G18, H18) + 1)))</f>
        <v>999</v>
      </c>
      <c r="H17">
        <f>IF(Sheet1!$AG$1=1, IF(AND(COLUMN()-1=Sheet1!$AF$4, 32-ROW()=Sheet1!$AG$4), 0, 999), IF(COUNTIFS(Sheet1!$AK$1:$AK$50, COLUMN()-1, Sheet1!$AL$1:$AL$50, 32-ROW())&gt;0, 999, IF(AND(COLUMN()-1=Sheet1!$AF$4, 32-ROW()=Sheet1!$AG$4), 0, MIN(G16, H16, I16, G17, I17, G18, H18, I18) + 1)))</f>
        <v>999</v>
      </c>
      <c r="I17">
        <f>IF(Sheet1!$AG$1=1, IF(AND(COLUMN()-1=Sheet1!$AF$4, 32-ROW()=Sheet1!$AG$4), 0, 999), IF(COUNTIFS(Sheet1!$AK$1:$AK$50, COLUMN()-1, Sheet1!$AL$1:$AL$50, 32-ROW())&gt;0, 999, IF(AND(COLUMN()-1=Sheet1!$AF$4, 32-ROW()=Sheet1!$AG$4), 0, MIN(H16, I16, J16, H17, J17, H18, I18, J18) + 1)))</f>
        <v>999</v>
      </c>
      <c r="J17">
        <f>IF(Sheet1!$AG$1=1, IF(AND(COLUMN()-1=Sheet1!$AF$4, 32-ROW()=Sheet1!$AG$4), 0, 999), IF(COUNTIFS(Sheet1!$AK$1:$AK$50, COLUMN()-1, Sheet1!$AL$1:$AL$50, 32-ROW())&gt;0, 999, IF(AND(COLUMN()-1=Sheet1!$AF$4, 32-ROW()=Sheet1!$AG$4), 0, MIN(I16, J16, K16, I17, K17, I18, J18, K18) + 1)))</f>
        <v>999</v>
      </c>
      <c r="K17">
        <f>IF(Sheet1!$AG$1=1, IF(AND(COLUMN()-1=Sheet1!$AF$4, 32-ROW()=Sheet1!$AG$4), 0, 999), IF(COUNTIFS(Sheet1!$AK$1:$AK$50, COLUMN()-1, Sheet1!$AL$1:$AL$50, 32-ROW())&gt;0, 999, IF(AND(COLUMN()-1=Sheet1!$AF$4, 32-ROW()=Sheet1!$AG$4), 0, MIN(J16, K16, L16, J17, L17, J18, K18, L18) + 1)))</f>
        <v>999</v>
      </c>
      <c r="L17">
        <f>IF(Sheet1!$AG$1=1, IF(AND(COLUMN()-1=Sheet1!$AF$4, 32-ROW()=Sheet1!$AG$4), 0, 999), IF(COUNTIFS(Sheet1!$AK$1:$AK$50, COLUMN()-1, Sheet1!$AL$1:$AL$50, 32-ROW())&gt;0, 999, IF(AND(COLUMN()-1=Sheet1!$AF$4, 32-ROW()=Sheet1!$AG$4), 0, MIN(K16, L16, M16, K17, M17, K18, L18, M18) + 1)))</f>
        <v>999</v>
      </c>
      <c r="M17">
        <f>IF(Sheet1!$AG$1=1, IF(AND(COLUMN()-1=Sheet1!$AF$4, 32-ROW()=Sheet1!$AG$4), 0, 999), IF(COUNTIFS(Sheet1!$AK$1:$AK$50, COLUMN()-1, Sheet1!$AL$1:$AL$50, 32-ROW())&gt;0, 999, IF(AND(COLUMN()-1=Sheet1!$AF$4, 32-ROW()=Sheet1!$AG$4), 0, MIN(L16, M16, N16, L17, N17, L18, M18, N18) + 1)))</f>
        <v>999</v>
      </c>
      <c r="N17">
        <f>IF(Sheet1!$AG$1=1, IF(AND(COLUMN()-1=Sheet1!$AF$4, 32-ROW()=Sheet1!$AG$4), 0, 999), IF(COUNTIFS(Sheet1!$AK$1:$AK$50, COLUMN()-1, Sheet1!$AL$1:$AL$50, 32-ROW())&gt;0, 999, IF(AND(COLUMN()-1=Sheet1!$AF$4, 32-ROW()=Sheet1!$AG$4), 0, MIN(M16, N16, O16, M17, O17, M18, N18, O18) + 1)))</f>
        <v>999</v>
      </c>
      <c r="O17">
        <f>IF(Sheet1!$AG$1=1, IF(AND(COLUMN()-1=Sheet1!$AF$4, 32-ROW()=Sheet1!$AG$4), 0, 999), IF(COUNTIFS(Sheet1!$AK$1:$AK$50, COLUMN()-1, Sheet1!$AL$1:$AL$50, 32-ROW())&gt;0, 999, IF(AND(COLUMN()-1=Sheet1!$AF$4, 32-ROW()=Sheet1!$AG$4), 0, MIN(N16, O16, P16, N17, P17, N18, O18, P18) + 1)))</f>
        <v>999</v>
      </c>
      <c r="P17">
        <f>IF(Sheet1!$AG$1=1, IF(AND(COLUMN()-1=Sheet1!$AF$4, 32-ROW()=Sheet1!$AG$4), 0, 999), IF(COUNTIFS(Sheet1!$AK$1:$AK$50, COLUMN()-1, Sheet1!$AL$1:$AL$50, 32-ROW())&gt;0, 999, IF(AND(COLUMN()-1=Sheet1!$AF$4, 32-ROW()=Sheet1!$AG$4), 0, MIN(O16, P16, Q16, O17, Q17, O18, P18, Q18) + 1)))</f>
        <v>999</v>
      </c>
      <c r="Q17">
        <f>IF(Sheet1!$AG$1=1, IF(AND(COLUMN()-1=Sheet1!$AF$4, 32-ROW()=Sheet1!$AG$4), 0, 999), IF(COUNTIFS(Sheet1!$AK$1:$AK$50, COLUMN()-1, Sheet1!$AL$1:$AL$50, 32-ROW())&gt;0, 999, IF(AND(COLUMN()-1=Sheet1!$AF$4, 32-ROW()=Sheet1!$AG$4), 0, MIN(P16, Q16, R16, P17, R17, P18, Q18, R18) + 1)))</f>
        <v>999</v>
      </c>
      <c r="R17">
        <f>IF(Sheet1!$AG$1=1, IF(AND(COLUMN()-1=Sheet1!$AF$4, 32-ROW()=Sheet1!$AG$4), 0, 999), IF(COUNTIFS(Sheet1!$AK$1:$AK$50, COLUMN()-1, Sheet1!$AL$1:$AL$50, 32-ROW())&gt;0, 999, IF(AND(COLUMN()-1=Sheet1!$AF$4, 32-ROW()=Sheet1!$AG$4), 0, MIN(Q16, R16, S16, Q17, S17, Q18, R18, S18) + 1)))</f>
        <v>999</v>
      </c>
      <c r="S17">
        <f>IF(Sheet1!$AG$1=1, IF(AND(COLUMN()-1=Sheet1!$AF$4, 32-ROW()=Sheet1!$AG$4), 0, 999), IF(COUNTIFS(Sheet1!$AK$1:$AK$50, COLUMN()-1, Sheet1!$AL$1:$AL$50, 32-ROW())&gt;0, 999, IF(AND(COLUMN()-1=Sheet1!$AF$4, 32-ROW()=Sheet1!$AG$4), 0, MIN(R16, S16, T16, R17, T17, R18, S18, T18) + 1)))</f>
        <v>999</v>
      </c>
      <c r="T17">
        <f>IF(Sheet1!$AG$1=1, IF(AND(COLUMN()-1=Sheet1!$AF$4, 32-ROW()=Sheet1!$AG$4), 0, 999), IF(COUNTIFS(Sheet1!$AK$1:$AK$50, COLUMN()-1, Sheet1!$AL$1:$AL$50, 32-ROW())&gt;0, 999, IF(AND(COLUMN()-1=Sheet1!$AF$4, 32-ROW()=Sheet1!$AG$4), 0, MIN(S16, T16, U16, S17, U17, S18, T18, U18) + 1)))</f>
        <v>999</v>
      </c>
      <c r="U17">
        <f>IF(Sheet1!$AG$1=1, IF(AND(COLUMN()-1=Sheet1!$AF$4, 32-ROW()=Sheet1!$AG$4), 0, 999), IF(COUNTIFS(Sheet1!$AK$1:$AK$50, COLUMN()-1, Sheet1!$AL$1:$AL$50, 32-ROW())&gt;0, 999, IF(AND(COLUMN()-1=Sheet1!$AF$4, 32-ROW()=Sheet1!$AG$4), 0, MIN(T16, U16, V16, T17, V17, T18, U18, V18) + 1)))</f>
        <v>999</v>
      </c>
      <c r="V17">
        <f>IF(Sheet1!$AG$1=1, IF(AND(COLUMN()-1=Sheet1!$AF$4, 32-ROW()=Sheet1!$AG$4), 0, 999), IF(COUNTIFS(Sheet1!$AK$1:$AK$50, COLUMN()-1, Sheet1!$AL$1:$AL$50, 32-ROW())&gt;0, 999, IF(AND(COLUMN()-1=Sheet1!$AF$4, 32-ROW()=Sheet1!$AG$4), 0, MIN(U16, V16, W16, U17, W17, U18, V18, W18) + 1)))</f>
        <v>999</v>
      </c>
      <c r="W17">
        <f>IF(Sheet1!$AG$1=1, IF(AND(COLUMN()-1=Sheet1!$AF$4, 32-ROW()=Sheet1!$AG$4), 0, 999), IF(COUNTIFS(Sheet1!$AK$1:$AK$50, COLUMN()-1, Sheet1!$AL$1:$AL$50, 32-ROW())&gt;0, 999, IF(AND(COLUMN()-1=Sheet1!$AF$4, 32-ROW()=Sheet1!$AG$4), 0, MIN(V16, W16, X16, V17, X17, V18, W18, X18) + 1)))</f>
        <v>999</v>
      </c>
      <c r="X17">
        <f>IF(Sheet1!$AG$1=1, IF(AND(COLUMN()-1=Sheet1!$AF$4, 32-ROW()=Sheet1!$AG$4), 0, 999), IF(COUNTIFS(Sheet1!$AK$1:$AK$50, COLUMN()-1, Sheet1!$AL$1:$AL$50, 32-ROW())&gt;0, 999, IF(AND(COLUMN()-1=Sheet1!$AF$4, 32-ROW()=Sheet1!$AG$4), 0, MIN(W16, X16, Y16, W17, Y17, W18, X18, Y18) + 1)))</f>
        <v>999</v>
      </c>
      <c r="Y17">
        <f>IF(Sheet1!$AG$1=1, IF(AND(COLUMN()-1=Sheet1!$AF$4, 32-ROW()=Sheet1!$AG$4), 0, 999), IF(COUNTIFS(Sheet1!$AK$1:$AK$50, COLUMN()-1, Sheet1!$AL$1:$AL$50, 32-ROW())&gt;0, 999, IF(AND(COLUMN()-1=Sheet1!$AF$4, 32-ROW()=Sheet1!$AG$4), 0, MIN(X16, Y16, Z16, X17, Z17, X18, Y18, Z18) + 1)))</f>
        <v>999</v>
      </c>
      <c r="Z17">
        <f>IF(Sheet1!$AG$1=1, IF(AND(COLUMN()-1=Sheet1!$AF$4, 32-ROW()=Sheet1!$AG$4), 0, 999), IF(COUNTIFS(Sheet1!$AK$1:$AK$50, COLUMN()-1, Sheet1!$AL$1:$AL$50, 32-ROW())&gt;0, 999, IF(AND(COLUMN()-1=Sheet1!$AF$4, 32-ROW()=Sheet1!$AG$4), 0, MIN(Y16, Z16, AA16, Y17, AA17, Y18, Z18, AA18) + 1)))</f>
        <v>999</v>
      </c>
      <c r="AA17">
        <f>IF(Sheet1!$AG$1=1, IF(AND(COLUMN()-1=Sheet1!$AF$4, 32-ROW()=Sheet1!$AG$4), 0, 999), IF(COUNTIFS(Sheet1!$AK$1:$AK$50, COLUMN()-1, Sheet1!$AL$1:$AL$50, 32-ROW())&gt;0, 999, IF(AND(COLUMN()-1=Sheet1!$AF$4, 32-ROW()=Sheet1!$AG$4), 0, MIN(Z16, AA16, AB16, Z17, AB17, Z18, AA18, AB18) + 1)))</f>
        <v>999</v>
      </c>
      <c r="AB17">
        <f>IF(Sheet1!$AG$1=1, IF(AND(COLUMN()-1=Sheet1!$AF$4, 32-ROW()=Sheet1!$AG$4), 0, 999), IF(COUNTIFS(Sheet1!$AK$1:$AK$50, COLUMN()-1, Sheet1!$AL$1:$AL$50, 32-ROW())&gt;0, 999, IF(AND(COLUMN()-1=Sheet1!$AF$4, 32-ROW()=Sheet1!$AG$4), 0, MIN(AA16, AB16, AC16, AA17, AC17, AA18, AB18, AC18) + 1)))</f>
        <v>999</v>
      </c>
      <c r="AC17">
        <f>IF(Sheet1!$AG$1=1, IF(AND(COLUMN()-1=Sheet1!$AF$4, 32-ROW()=Sheet1!$AG$4), 0, 999), IF(COUNTIFS(Sheet1!$AK$1:$AK$50, COLUMN()-1, Sheet1!$AL$1:$AL$50, 32-ROW())&gt;0, 999, IF(AND(COLUMN()-1=Sheet1!$AF$4, 32-ROW()=Sheet1!$AG$4), 0, MIN(AB16, AC16, AD16, AB17, AD17, AB18, AC18, AD18) + 1)))</f>
        <v>999</v>
      </c>
      <c r="AD17">
        <f>IF(Sheet1!$AG$1=1, IF(AND(COLUMN()-1=Sheet1!$AF$4, 32-ROW()=Sheet1!$AG$4), 0, 999), IF(COUNTIFS(Sheet1!$AK$1:$AK$50, COLUMN()-1, Sheet1!$AL$1:$AL$50, 32-ROW())&gt;0, 999, IF(AND(COLUMN()-1=Sheet1!$AF$4, 32-ROW()=Sheet1!$AG$4), 0, MIN(AC16, AD16, AE16, AC17, AE17, AC18, AD18, AE18) + 1)))</f>
        <v>999</v>
      </c>
      <c r="AE17">
        <f>IF(Sheet1!$AG$1=1, IF(AND(COLUMN()-1=Sheet1!$AF$4, 32-ROW()=Sheet1!$AG$4), 0, 999), IF(COUNTIFS(Sheet1!$AK$1:$AK$50, COLUMN()-1, Sheet1!$AL$1:$AL$50, 32-ROW())&gt;0, 999, IF(AND(COLUMN()-1=Sheet1!$AF$4, 32-ROW()=Sheet1!$AG$4), 0, MIN(AD16, AE16, AF16, AD17, AF17, AD18, AE18, AF18) + 1)))</f>
        <v>999</v>
      </c>
      <c r="AF17">
        <v>999</v>
      </c>
    </row>
    <row r="18" spans="1:32">
      <c r="A18">
        <v>999</v>
      </c>
      <c r="B18">
        <f>IF(Sheet1!$AG$1=1, IF(AND(COLUMN()-1=Sheet1!$AF$4, 32-ROW()=Sheet1!$AG$4), 0, 999), IF(COUNTIFS(Sheet1!$AK$1:$AK$50, COLUMN()-1, Sheet1!$AL$1:$AL$50, 32-ROW())&gt;0, 999, IF(AND(COLUMN()-1=Sheet1!$AF$4, 32-ROW()=Sheet1!$AG$4), 0, MIN(A17, B17, C17, A18, C18, A19, B19, C19) + 1)))</f>
        <v>999</v>
      </c>
      <c r="C18">
        <f>IF(Sheet1!$AG$1=1, IF(AND(COLUMN()-1=Sheet1!$AF$4, 32-ROW()=Sheet1!$AG$4), 0, 999), IF(COUNTIFS(Sheet1!$AK$1:$AK$50, COLUMN()-1, Sheet1!$AL$1:$AL$50, 32-ROW())&gt;0, 999, IF(AND(COLUMN()-1=Sheet1!$AF$4, 32-ROW()=Sheet1!$AG$4), 0, MIN(B17, C17, D17, B18, D18, B19, C19, D19) + 1)))</f>
        <v>999</v>
      </c>
      <c r="D18">
        <f>IF(Sheet1!$AG$1=1, IF(AND(COLUMN()-1=Sheet1!$AF$4, 32-ROW()=Sheet1!$AG$4), 0, 999), IF(COUNTIFS(Sheet1!$AK$1:$AK$50, COLUMN()-1, Sheet1!$AL$1:$AL$50, 32-ROW())&gt;0, 999, IF(AND(COLUMN()-1=Sheet1!$AF$4, 32-ROW()=Sheet1!$AG$4), 0, MIN(C17, D17, E17, C18, E18, C19, D19, E19) + 1)))</f>
        <v>999</v>
      </c>
      <c r="E18">
        <f>IF(Sheet1!$AG$1=1, IF(AND(COLUMN()-1=Sheet1!$AF$4, 32-ROW()=Sheet1!$AG$4), 0, 999), IF(COUNTIFS(Sheet1!$AK$1:$AK$50, COLUMN()-1, Sheet1!$AL$1:$AL$50, 32-ROW())&gt;0, 999, IF(AND(COLUMN()-1=Sheet1!$AF$4, 32-ROW()=Sheet1!$AG$4), 0, MIN(D17, E17, F17, D18, F18, D19, E19, F19) + 1)))</f>
        <v>999</v>
      </c>
      <c r="F18">
        <f>IF(Sheet1!$AG$1=1, IF(AND(COLUMN()-1=Sheet1!$AF$4, 32-ROW()=Sheet1!$AG$4), 0, 999), IF(COUNTIFS(Sheet1!$AK$1:$AK$50, COLUMN()-1, Sheet1!$AL$1:$AL$50, 32-ROW())&gt;0, 999, IF(AND(COLUMN()-1=Sheet1!$AF$4, 32-ROW()=Sheet1!$AG$4), 0, MIN(E17, F17, G17, E18, G18, E19, F19, G19) + 1)))</f>
        <v>999</v>
      </c>
      <c r="G18">
        <f>IF(Sheet1!$AG$1=1, IF(AND(COLUMN()-1=Sheet1!$AF$4, 32-ROW()=Sheet1!$AG$4), 0, 999), IF(COUNTIFS(Sheet1!$AK$1:$AK$50, COLUMN()-1, Sheet1!$AL$1:$AL$50, 32-ROW())&gt;0, 999, IF(AND(COLUMN()-1=Sheet1!$AF$4, 32-ROW()=Sheet1!$AG$4), 0, MIN(F17, G17, H17, F18, H18, F19, G19, H19) + 1)))</f>
        <v>999</v>
      </c>
      <c r="H18">
        <f>IF(Sheet1!$AG$1=1, IF(AND(COLUMN()-1=Sheet1!$AF$4, 32-ROW()=Sheet1!$AG$4), 0, 999), IF(COUNTIFS(Sheet1!$AK$1:$AK$50, COLUMN()-1, Sheet1!$AL$1:$AL$50, 32-ROW())&gt;0, 999, IF(AND(COLUMN()-1=Sheet1!$AF$4, 32-ROW()=Sheet1!$AG$4), 0, MIN(G17, H17, I17, G18, I18, G19, H19, I19) + 1)))</f>
        <v>999</v>
      </c>
      <c r="I18">
        <f>IF(Sheet1!$AG$1=1, IF(AND(COLUMN()-1=Sheet1!$AF$4, 32-ROW()=Sheet1!$AG$4), 0, 999), IF(COUNTIFS(Sheet1!$AK$1:$AK$50, COLUMN()-1, Sheet1!$AL$1:$AL$50, 32-ROW())&gt;0, 999, IF(AND(COLUMN()-1=Sheet1!$AF$4, 32-ROW()=Sheet1!$AG$4), 0, MIN(H17, I17, J17, H18, J18, H19, I19, J19) + 1)))</f>
        <v>999</v>
      </c>
      <c r="J18">
        <f>IF(Sheet1!$AG$1=1, IF(AND(COLUMN()-1=Sheet1!$AF$4, 32-ROW()=Sheet1!$AG$4), 0, 999), IF(COUNTIFS(Sheet1!$AK$1:$AK$50, COLUMN()-1, Sheet1!$AL$1:$AL$50, 32-ROW())&gt;0, 999, IF(AND(COLUMN()-1=Sheet1!$AF$4, 32-ROW()=Sheet1!$AG$4), 0, MIN(I17, J17, K17, I18, K18, I19, J19, K19) + 1)))</f>
        <v>999</v>
      </c>
      <c r="K18">
        <f>IF(Sheet1!$AG$1=1, IF(AND(COLUMN()-1=Sheet1!$AF$4, 32-ROW()=Sheet1!$AG$4), 0, 999), IF(COUNTIFS(Sheet1!$AK$1:$AK$50, COLUMN()-1, Sheet1!$AL$1:$AL$50, 32-ROW())&gt;0, 999, IF(AND(COLUMN()-1=Sheet1!$AF$4, 32-ROW()=Sheet1!$AG$4), 0, MIN(J17, K17, L17, J18, L18, J19, K19, L19) + 1)))</f>
        <v>999</v>
      </c>
      <c r="L18">
        <f>IF(Sheet1!$AG$1=1, IF(AND(COLUMN()-1=Sheet1!$AF$4, 32-ROW()=Sheet1!$AG$4), 0, 999), IF(COUNTIFS(Sheet1!$AK$1:$AK$50, COLUMN()-1, Sheet1!$AL$1:$AL$50, 32-ROW())&gt;0, 999, IF(AND(COLUMN()-1=Sheet1!$AF$4, 32-ROW()=Sheet1!$AG$4), 0, MIN(K17, L17, M17, K18, M18, K19, L19, M19) + 1)))</f>
        <v>999</v>
      </c>
      <c r="M18">
        <f>IF(Sheet1!$AG$1=1, IF(AND(COLUMN()-1=Sheet1!$AF$4, 32-ROW()=Sheet1!$AG$4), 0, 999), IF(COUNTIFS(Sheet1!$AK$1:$AK$50, COLUMN()-1, Sheet1!$AL$1:$AL$50, 32-ROW())&gt;0, 999, IF(AND(COLUMN()-1=Sheet1!$AF$4, 32-ROW()=Sheet1!$AG$4), 0, MIN(L17, M17, N17, L18, N18, L19, M19, N19) + 1)))</f>
        <v>999</v>
      </c>
      <c r="N18">
        <f>IF(Sheet1!$AG$1=1, IF(AND(COLUMN()-1=Sheet1!$AF$4, 32-ROW()=Sheet1!$AG$4), 0, 999), IF(COUNTIFS(Sheet1!$AK$1:$AK$50, COLUMN()-1, Sheet1!$AL$1:$AL$50, 32-ROW())&gt;0, 999, IF(AND(COLUMN()-1=Sheet1!$AF$4, 32-ROW()=Sheet1!$AG$4), 0, MIN(M17, N17, O17, M18, O18, M19, N19, O19) + 1)))</f>
        <v>999</v>
      </c>
      <c r="O18">
        <f>IF(Sheet1!$AG$1=1, IF(AND(COLUMN()-1=Sheet1!$AF$4, 32-ROW()=Sheet1!$AG$4), 0, 999), IF(COUNTIFS(Sheet1!$AK$1:$AK$50, COLUMN()-1, Sheet1!$AL$1:$AL$50, 32-ROW())&gt;0, 999, IF(AND(COLUMN()-1=Sheet1!$AF$4, 32-ROW()=Sheet1!$AG$4), 0, MIN(N17, O17, P17, N18, P18, N19, O19, P19) + 1)))</f>
        <v>999</v>
      </c>
      <c r="P18">
        <f>IF(Sheet1!$AG$1=1, IF(AND(COLUMN()-1=Sheet1!$AF$4, 32-ROW()=Sheet1!$AG$4), 0, 999), IF(COUNTIFS(Sheet1!$AK$1:$AK$50, COLUMN()-1, Sheet1!$AL$1:$AL$50, 32-ROW())&gt;0, 999, IF(AND(COLUMN()-1=Sheet1!$AF$4, 32-ROW()=Sheet1!$AG$4), 0, MIN(O17, P17, Q17, O18, Q18, O19, P19, Q19) + 1)))</f>
        <v>999</v>
      </c>
      <c r="Q18">
        <f>IF(Sheet1!$AG$1=1, IF(AND(COLUMN()-1=Sheet1!$AF$4, 32-ROW()=Sheet1!$AG$4), 0, 999), IF(COUNTIFS(Sheet1!$AK$1:$AK$50, COLUMN()-1, Sheet1!$AL$1:$AL$50, 32-ROW())&gt;0, 999, IF(AND(COLUMN()-1=Sheet1!$AF$4, 32-ROW()=Sheet1!$AG$4), 0, MIN(P17, Q17, R17, P18, R18, P19, Q19, R19) + 1)))</f>
        <v>999</v>
      </c>
      <c r="R18">
        <f>IF(Sheet1!$AG$1=1, IF(AND(COLUMN()-1=Sheet1!$AF$4, 32-ROW()=Sheet1!$AG$4), 0, 999), IF(COUNTIFS(Sheet1!$AK$1:$AK$50, COLUMN()-1, Sheet1!$AL$1:$AL$50, 32-ROW())&gt;0, 999, IF(AND(COLUMN()-1=Sheet1!$AF$4, 32-ROW()=Sheet1!$AG$4), 0, MIN(Q17, R17, S17, Q18, S18, Q19, R19, S19) + 1)))</f>
        <v>999</v>
      </c>
      <c r="S18">
        <f>IF(Sheet1!$AG$1=1, IF(AND(COLUMN()-1=Sheet1!$AF$4, 32-ROW()=Sheet1!$AG$4), 0, 999), IF(COUNTIFS(Sheet1!$AK$1:$AK$50, COLUMN()-1, Sheet1!$AL$1:$AL$50, 32-ROW())&gt;0, 999, IF(AND(COLUMN()-1=Sheet1!$AF$4, 32-ROW()=Sheet1!$AG$4), 0, MIN(R17, S17, T17, R18, T18, R19, S19, T19) + 1)))</f>
        <v>999</v>
      </c>
      <c r="T18">
        <f>IF(Sheet1!$AG$1=1, IF(AND(COLUMN()-1=Sheet1!$AF$4, 32-ROW()=Sheet1!$AG$4), 0, 999), IF(COUNTIFS(Sheet1!$AK$1:$AK$50, COLUMN()-1, Sheet1!$AL$1:$AL$50, 32-ROW())&gt;0, 999, IF(AND(COLUMN()-1=Sheet1!$AF$4, 32-ROW()=Sheet1!$AG$4), 0, MIN(S17, T17, U17, S18, U18, S19, T19, U19) + 1)))</f>
        <v>999</v>
      </c>
      <c r="U18">
        <f>IF(Sheet1!$AG$1=1, IF(AND(COLUMN()-1=Sheet1!$AF$4, 32-ROW()=Sheet1!$AG$4), 0, 999), IF(COUNTIFS(Sheet1!$AK$1:$AK$50, COLUMN()-1, Sheet1!$AL$1:$AL$50, 32-ROW())&gt;0, 999, IF(AND(COLUMN()-1=Sheet1!$AF$4, 32-ROW()=Sheet1!$AG$4), 0, MIN(T17, U17, V17, T18, V18, T19, U19, V19) + 1)))</f>
        <v>999</v>
      </c>
      <c r="V18">
        <f>IF(Sheet1!$AG$1=1, IF(AND(COLUMN()-1=Sheet1!$AF$4, 32-ROW()=Sheet1!$AG$4), 0, 999), IF(COUNTIFS(Sheet1!$AK$1:$AK$50, COLUMN()-1, Sheet1!$AL$1:$AL$50, 32-ROW())&gt;0, 999, IF(AND(COLUMN()-1=Sheet1!$AF$4, 32-ROW()=Sheet1!$AG$4), 0, MIN(U17, V17, W17, U18, W18, U19, V19, W19) + 1)))</f>
        <v>999</v>
      </c>
      <c r="W18">
        <f>IF(Sheet1!$AG$1=1, IF(AND(COLUMN()-1=Sheet1!$AF$4, 32-ROW()=Sheet1!$AG$4), 0, 999), IF(COUNTIFS(Sheet1!$AK$1:$AK$50, COLUMN()-1, Sheet1!$AL$1:$AL$50, 32-ROW())&gt;0, 999, IF(AND(COLUMN()-1=Sheet1!$AF$4, 32-ROW()=Sheet1!$AG$4), 0, MIN(V17, W17, X17, V18, X18, V19, W19, X19) + 1)))</f>
        <v>999</v>
      </c>
      <c r="X18">
        <f>IF(Sheet1!$AG$1=1, IF(AND(COLUMN()-1=Sheet1!$AF$4, 32-ROW()=Sheet1!$AG$4), 0, 999), IF(COUNTIFS(Sheet1!$AK$1:$AK$50, COLUMN()-1, Sheet1!$AL$1:$AL$50, 32-ROW())&gt;0, 999, IF(AND(COLUMN()-1=Sheet1!$AF$4, 32-ROW()=Sheet1!$AG$4), 0, MIN(W17, X17, Y17, W18, Y18, W19, X19, Y19) + 1)))</f>
        <v>999</v>
      </c>
      <c r="Y18">
        <f>IF(Sheet1!$AG$1=1, IF(AND(COLUMN()-1=Sheet1!$AF$4, 32-ROW()=Sheet1!$AG$4), 0, 999), IF(COUNTIFS(Sheet1!$AK$1:$AK$50, COLUMN()-1, Sheet1!$AL$1:$AL$50, 32-ROW())&gt;0, 999, IF(AND(COLUMN()-1=Sheet1!$AF$4, 32-ROW()=Sheet1!$AG$4), 0, MIN(X17, Y17, Z17, X18, Z18, X19, Y19, Z19) + 1)))</f>
        <v>999</v>
      </c>
      <c r="Z18">
        <f>IF(Sheet1!$AG$1=1, IF(AND(COLUMN()-1=Sheet1!$AF$4, 32-ROW()=Sheet1!$AG$4), 0, 999), IF(COUNTIFS(Sheet1!$AK$1:$AK$50, COLUMN()-1, Sheet1!$AL$1:$AL$50, 32-ROW())&gt;0, 999, IF(AND(COLUMN()-1=Sheet1!$AF$4, 32-ROW()=Sheet1!$AG$4), 0, MIN(Y17, Z17, AA17, Y18, AA18, Y19, Z19, AA19) + 1)))</f>
        <v>999</v>
      </c>
      <c r="AA18">
        <f>IF(Sheet1!$AG$1=1, IF(AND(COLUMN()-1=Sheet1!$AF$4, 32-ROW()=Sheet1!$AG$4), 0, 999), IF(COUNTIFS(Sheet1!$AK$1:$AK$50, COLUMN()-1, Sheet1!$AL$1:$AL$50, 32-ROW())&gt;0, 999, IF(AND(COLUMN()-1=Sheet1!$AF$4, 32-ROW()=Sheet1!$AG$4), 0, MIN(Z17, AA17, AB17, Z18, AB18, Z19, AA19, AB19) + 1)))</f>
        <v>999</v>
      </c>
      <c r="AB18">
        <f>IF(Sheet1!$AG$1=1, IF(AND(COLUMN()-1=Sheet1!$AF$4, 32-ROW()=Sheet1!$AG$4), 0, 999), IF(COUNTIFS(Sheet1!$AK$1:$AK$50, COLUMN()-1, Sheet1!$AL$1:$AL$50, 32-ROW())&gt;0, 999, IF(AND(COLUMN()-1=Sheet1!$AF$4, 32-ROW()=Sheet1!$AG$4), 0, MIN(AA17, AB17, AC17, AA18, AC18, AA19, AB19, AC19) + 1)))</f>
        <v>999</v>
      </c>
      <c r="AC18">
        <f>IF(Sheet1!$AG$1=1, IF(AND(COLUMN()-1=Sheet1!$AF$4, 32-ROW()=Sheet1!$AG$4), 0, 999), IF(COUNTIFS(Sheet1!$AK$1:$AK$50, COLUMN()-1, Sheet1!$AL$1:$AL$50, 32-ROW())&gt;0, 999, IF(AND(COLUMN()-1=Sheet1!$AF$4, 32-ROW()=Sheet1!$AG$4), 0, MIN(AB17, AC17, AD17, AB18, AD18, AB19, AC19, AD19) + 1)))</f>
        <v>999</v>
      </c>
      <c r="AD18">
        <f>IF(Sheet1!$AG$1=1, IF(AND(COLUMN()-1=Sheet1!$AF$4, 32-ROW()=Sheet1!$AG$4), 0, 999), IF(COUNTIFS(Sheet1!$AK$1:$AK$50, COLUMN()-1, Sheet1!$AL$1:$AL$50, 32-ROW())&gt;0, 999, IF(AND(COLUMN()-1=Sheet1!$AF$4, 32-ROW()=Sheet1!$AG$4), 0, MIN(AC17, AD17, AE17, AC18, AE18, AC19, AD19, AE19) + 1)))</f>
        <v>999</v>
      </c>
      <c r="AE18">
        <f>IF(Sheet1!$AG$1=1, IF(AND(COLUMN()-1=Sheet1!$AF$4, 32-ROW()=Sheet1!$AG$4), 0, 999), IF(COUNTIFS(Sheet1!$AK$1:$AK$50, COLUMN()-1, Sheet1!$AL$1:$AL$50, 32-ROW())&gt;0, 999, IF(AND(COLUMN()-1=Sheet1!$AF$4, 32-ROW()=Sheet1!$AG$4), 0, MIN(AD17, AE17, AF17, AD18, AF18, AD19, AE19, AF19) + 1)))</f>
        <v>999</v>
      </c>
      <c r="AF18">
        <v>999</v>
      </c>
    </row>
    <row r="19" spans="1:32">
      <c r="A19">
        <v>999</v>
      </c>
      <c r="B19">
        <f>IF(Sheet1!$AG$1=1, IF(AND(COLUMN()-1=Sheet1!$AF$4, 32-ROW()=Sheet1!$AG$4), 0, 999), IF(COUNTIFS(Sheet1!$AK$1:$AK$50, COLUMN()-1, Sheet1!$AL$1:$AL$50, 32-ROW())&gt;0, 999, IF(AND(COLUMN()-1=Sheet1!$AF$4, 32-ROW()=Sheet1!$AG$4), 0, MIN(A18, B18, C18, A19, C19, A20, B20, C20) + 1)))</f>
        <v>999</v>
      </c>
      <c r="C19">
        <f>IF(Sheet1!$AG$1=1, IF(AND(COLUMN()-1=Sheet1!$AF$4, 32-ROW()=Sheet1!$AG$4), 0, 999), IF(COUNTIFS(Sheet1!$AK$1:$AK$50, COLUMN()-1, Sheet1!$AL$1:$AL$50, 32-ROW())&gt;0, 999, IF(AND(COLUMN()-1=Sheet1!$AF$4, 32-ROW()=Sheet1!$AG$4), 0, MIN(B18, C18, D18, B19, D19, B20, C20, D20) + 1)))</f>
        <v>999</v>
      </c>
      <c r="D19">
        <f>IF(Sheet1!$AG$1=1, IF(AND(COLUMN()-1=Sheet1!$AF$4, 32-ROW()=Sheet1!$AG$4), 0, 999), IF(COUNTIFS(Sheet1!$AK$1:$AK$50, COLUMN()-1, Sheet1!$AL$1:$AL$50, 32-ROW())&gt;0, 999, IF(AND(COLUMN()-1=Sheet1!$AF$4, 32-ROW()=Sheet1!$AG$4), 0, MIN(C18, D18, E18, C19, E19, C20, D20, E20) + 1)))</f>
        <v>999</v>
      </c>
      <c r="E19">
        <f>IF(Sheet1!$AG$1=1, IF(AND(COLUMN()-1=Sheet1!$AF$4, 32-ROW()=Sheet1!$AG$4), 0, 999), IF(COUNTIFS(Sheet1!$AK$1:$AK$50, COLUMN()-1, Sheet1!$AL$1:$AL$50, 32-ROW())&gt;0, 999, IF(AND(COLUMN()-1=Sheet1!$AF$4, 32-ROW()=Sheet1!$AG$4), 0, MIN(D18, E18, F18, D19, F19, D20, E20, F20) + 1)))</f>
        <v>999</v>
      </c>
      <c r="F19">
        <f>IF(Sheet1!$AG$1=1, IF(AND(COLUMN()-1=Sheet1!$AF$4, 32-ROW()=Sheet1!$AG$4), 0, 999), IF(COUNTIFS(Sheet1!$AK$1:$AK$50, COLUMN()-1, Sheet1!$AL$1:$AL$50, 32-ROW())&gt;0, 999, IF(AND(COLUMN()-1=Sheet1!$AF$4, 32-ROW()=Sheet1!$AG$4), 0, MIN(E18, F18, G18, E19, G19, E20, F20, G20) + 1)))</f>
        <v>999</v>
      </c>
      <c r="G19">
        <f>IF(Sheet1!$AG$1=1, IF(AND(COLUMN()-1=Sheet1!$AF$4, 32-ROW()=Sheet1!$AG$4), 0, 999), IF(COUNTIFS(Sheet1!$AK$1:$AK$50, COLUMN()-1, Sheet1!$AL$1:$AL$50, 32-ROW())&gt;0, 999, IF(AND(COLUMN()-1=Sheet1!$AF$4, 32-ROW()=Sheet1!$AG$4), 0, MIN(F18, G18, H18, F19, H19, F20, G20, H20) + 1)))</f>
        <v>999</v>
      </c>
      <c r="H19">
        <f>IF(Sheet1!$AG$1=1, IF(AND(COLUMN()-1=Sheet1!$AF$4, 32-ROW()=Sheet1!$AG$4), 0, 999), IF(COUNTIFS(Sheet1!$AK$1:$AK$50, COLUMN()-1, Sheet1!$AL$1:$AL$50, 32-ROW())&gt;0, 999, IF(AND(COLUMN()-1=Sheet1!$AF$4, 32-ROW()=Sheet1!$AG$4), 0, MIN(G18, H18, I18, G19, I19, G20, H20, I20) + 1)))</f>
        <v>999</v>
      </c>
      <c r="I19">
        <f>IF(Sheet1!$AG$1=1, IF(AND(COLUMN()-1=Sheet1!$AF$4, 32-ROW()=Sheet1!$AG$4), 0, 999), IF(COUNTIFS(Sheet1!$AK$1:$AK$50, COLUMN()-1, Sheet1!$AL$1:$AL$50, 32-ROW())&gt;0, 999, IF(AND(COLUMN()-1=Sheet1!$AF$4, 32-ROW()=Sheet1!$AG$4), 0, MIN(H18, I18, J18, H19, J19, H20, I20, J20) + 1)))</f>
        <v>999</v>
      </c>
      <c r="J19">
        <f>IF(Sheet1!$AG$1=1, IF(AND(COLUMN()-1=Sheet1!$AF$4, 32-ROW()=Sheet1!$AG$4), 0, 999), IF(COUNTIFS(Sheet1!$AK$1:$AK$50, COLUMN()-1, Sheet1!$AL$1:$AL$50, 32-ROW())&gt;0, 999, IF(AND(COLUMN()-1=Sheet1!$AF$4, 32-ROW()=Sheet1!$AG$4), 0, MIN(I18, J18, K18, I19, K19, I20, J20, K20) + 1)))</f>
        <v>999</v>
      </c>
      <c r="K19">
        <f>IF(Sheet1!$AG$1=1, IF(AND(COLUMN()-1=Sheet1!$AF$4, 32-ROW()=Sheet1!$AG$4), 0, 999), IF(COUNTIFS(Sheet1!$AK$1:$AK$50, COLUMN()-1, Sheet1!$AL$1:$AL$50, 32-ROW())&gt;0, 999, IF(AND(COLUMN()-1=Sheet1!$AF$4, 32-ROW()=Sheet1!$AG$4), 0, MIN(J18, K18, L18, J19, L19, J20, K20, L20) + 1)))</f>
        <v>999</v>
      </c>
      <c r="L19">
        <f>IF(Sheet1!$AG$1=1, IF(AND(COLUMN()-1=Sheet1!$AF$4, 32-ROW()=Sheet1!$AG$4), 0, 999), IF(COUNTIFS(Sheet1!$AK$1:$AK$50, COLUMN()-1, Sheet1!$AL$1:$AL$50, 32-ROW())&gt;0, 999, IF(AND(COLUMN()-1=Sheet1!$AF$4, 32-ROW()=Sheet1!$AG$4), 0, MIN(K18, L18, M18, K19, M19, K20, L20, M20) + 1)))</f>
        <v>999</v>
      </c>
      <c r="M19">
        <f>IF(Sheet1!$AG$1=1, IF(AND(COLUMN()-1=Sheet1!$AF$4, 32-ROW()=Sheet1!$AG$4), 0, 999), IF(COUNTIFS(Sheet1!$AK$1:$AK$50, COLUMN()-1, Sheet1!$AL$1:$AL$50, 32-ROW())&gt;0, 999, IF(AND(COLUMN()-1=Sheet1!$AF$4, 32-ROW()=Sheet1!$AG$4), 0, MIN(L18, M18, N18, L19, N19, L20, M20, N20) + 1)))</f>
        <v>999</v>
      </c>
      <c r="N19">
        <f>IF(Sheet1!$AG$1=1, IF(AND(COLUMN()-1=Sheet1!$AF$4, 32-ROW()=Sheet1!$AG$4), 0, 999), IF(COUNTIFS(Sheet1!$AK$1:$AK$50, COLUMN()-1, Sheet1!$AL$1:$AL$50, 32-ROW())&gt;0, 999, IF(AND(COLUMN()-1=Sheet1!$AF$4, 32-ROW()=Sheet1!$AG$4), 0, MIN(M18, N18, O18, M19, O19, M20, N20, O20) + 1)))</f>
        <v>999</v>
      </c>
      <c r="O19">
        <f>IF(Sheet1!$AG$1=1, IF(AND(COLUMN()-1=Sheet1!$AF$4, 32-ROW()=Sheet1!$AG$4), 0, 999), IF(COUNTIFS(Sheet1!$AK$1:$AK$50, COLUMN()-1, Sheet1!$AL$1:$AL$50, 32-ROW())&gt;0, 999, IF(AND(COLUMN()-1=Sheet1!$AF$4, 32-ROW()=Sheet1!$AG$4), 0, MIN(N18, O18, P18, N19, P19, N20, O20, P20) + 1)))</f>
        <v>999</v>
      </c>
      <c r="P19">
        <f>IF(Sheet1!$AG$1=1, IF(AND(COLUMN()-1=Sheet1!$AF$4, 32-ROW()=Sheet1!$AG$4), 0, 999), IF(COUNTIFS(Sheet1!$AK$1:$AK$50, COLUMN()-1, Sheet1!$AL$1:$AL$50, 32-ROW())&gt;0, 999, IF(AND(COLUMN()-1=Sheet1!$AF$4, 32-ROW()=Sheet1!$AG$4), 0, MIN(O18, P18, Q18, O19, Q19, O20, P20, Q20) + 1)))</f>
        <v>999</v>
      </c>
      <c r="Q19">
        <f>IF(Sheet1!$AG$1=1, IF(AND(COLUMN()-1=Sheet1!$AF$4, 32-ROW()=Sheet1!$AG$4), 0, 999), IF(COUNTIFS(Sheet1!$AK$1:$AK$50, COLUMN()-1, Sheet1!$AL$1:$AL$50, 32-ROW())&gt;0, 999, IF(AND(COLUMN()-1=Sheet1!$AF$4, 32-ROW()=Sheet1!$AG$4), 0, MIN(P18, Q18, R18, P19, R19, P20, Q20, R20) + 1)))</f>
        <v>999</v>
      </c>
      <c r="R19">
        <f>IF(Sheet1!$AG$1=1, IF(AND(COLUMN()-1=Sheet1!$AF$4, 32-ROW()=Sheet1!$AG$4), 0, 999), IF(COUNTIFS(Sheet1!$AK$1:$AK$50, COLUMN()-1, Sheet1!$AL$1:$AL$50, 32-ROW())&gt;0, 999, IF(AND(COLUMN()-1=Sheet1!$AF$4, 32-ROW()=Sheet1!$AG$4), 0, MIN(Q18, R18, S18, Q19, S19, Q20, R20, S20) + 1)))</f>
        <v>999</v>
      </c>
      <c r="S19">
        <f>IF(Sheet1!$AG$1=1, IF(AND(COLUMN()-1=Sheet1!$AF$4, 32-ROW()=Sheet1!$AG$4), 0, 999), IF(COUNTIFS(Sheet1!$AK$1:$AK$50, COLUMN()-1, Sheet1!$AL$1:$AL$50, 32-ROW())&gt;0, 999, IF(AND(COLUMN()-1=Sheet1!$AF$4, 32-ROW()=Sheet1!$AG$4), 0, MIN(R18, S18, T18, R19, T19, R20, S20, T20) + 1)))</f>
        <v>999</v>
      </c>
      <c r="T19">
        <f>IF(Sheet1!$AG$1=1, IF(AND(COLUMN()-1=Sheet1!$AF$4, 32-ROW()=Sheet1!$AG$4), 0, 999), IF(COUNTIFS(Sheet1!$AK$1:$AK$50, COLUMN()-1, Sheet1!$AL$1:$AL$50, 32-ROW())&gt;0, 999, IF(AND(COLUMN()-1=Sheet1!$AF$4, 32-ROW()=Sheet1!$AG$4), 0, MIN(S18, T18, U18, S19, U19, S20, T20, U20) + 1)))</f>
        <v>999</v>
      </c>
      <c r="U19">
        <f>IF(Sheet1!$AG$1=1, IF(AND(COLUMN()-1=Sheet1!$AF$4, 32-ROW()=Sheet1!$AG$4), 0, 999), IF(COUNTIFS(Sheet1!$AK$1:$AK$50, COLUMN()-1, Sheet1!$AL$1:$AL$50, 32-ROW())&gt;0, 999, IF(AND(COLUMN()-1=Sheet1!$AF$4, 32-ROW()=Sheet1!$AG$4), 0, MIN(T18, U18, V18, T19, V19, T20, U20, V20) + 1)))</f>
        <v>999</v>
      </c>
      <c r="V19">
        <f>IF(Sheet1!$AG$1=1, IF(AND(COLUMN()-1=Sheet1!$AF$4, 32-ROW()=Sheet1!$AG$4), 0, 999), IF(COUNTIFS(Sheet1!$AK$1:$AK$50, COLUMN()-1, Sheet1!$AL$1:$AL$50, 32-ROW())&gt;0, 999, IF(AND(COLUMN()-1=Sheet1!$AF$4, 32-ROW()=Sheet1!$AG$4), 0, MIN(U18, V18, W18, U19, W19, U20, V20, W20) + 1)))</f>
        <v>999</v>
      </c>
      <c r="W19">
        <f>IF(Sheet1!$AG$1=1, IF(AND(COLUMN()-1=Sheet1!$AF$4, 32-ROW()=Sheet1!$AG$4), 0, 999), IF(COUNTIFS(Sheet1!$AK$1:$AK$50, COLUMN()-1, Sheet1!$AL$1:$AL$50, 32-ROW())&gt;0, 999, IF(AND(COLUMN()-1=Sheet1!$AF$4, 32-ROW()=Sheet1!$AG$4), 0, MIN(V18, W18, X18, V19, X19, V20, W20, X20) + 1)))</f>
        <v>999</v>
      </c>
      <c r="X19">
        <f>IF(Sheet1!$AG$1=1, IF(AND(COLUMN()-1=Sheet1!$AF$4, 32-ROW()=Sheet1!$AG$4), 0, 999), IF(COUNTIFS(Sheet1!$AK$1:$AK$50, COLUMN()-1, Sheet1!$AL$1:$AL$50, 32-ROW())&gt;0, 999, IF(AND(COLUMN()-1=Sheet1!$AF$4, 32-ROW()=Sheet1!$AG$4), 0, MIN(W18, X18, Y18, W19, Y19, W20, X20, Y20) + 1)))</f>
        <v>999</v>
      </c>
      <c r="Y19">
        <f>IF(Sheet1!$AG$1=1, IF(AND(COLUMN()-1=Sheet1!$AF$4, 32-ROW()=Sheet1!$AG$4), 0, 999), IF(COUNTIFS(Sheet1!$AK$1:$AK$50, COLUMN()-1, Sheet1!$AL$1:$AL$50, 32-ROW())&gt;0, 999, IF(AND(COLUMN()-1=Sheet1!$AF$4, 32-ROW()=Sheet1!$AG$4), 0, MIN(X18, Y18, Z18, X19, Z19, X20, Y20, Z20) + 1)))</f>
        <v>999</v>
      </c>
      <c r="Z19">
        <f>IF(Sheet1!$AG$1=1, IF(AND(COLUMN()-1=Sheet1!$AF$4, 32-ROW()=Sheet1!$AG$4), 0, 999), IF(COUNTIFS(Sheet1!$AK$1:$AK$50, COLUMN()-1, Sheet1!$AL$1:$AL$50, 32-ROW())&gt;0, 999, IF(AND(COLUMN()-1=Sheet1!$AF$4, 32-ROW()=Sheet1!$AG$4), 0, MIN(Y18, Z18, AA18, Y19, AA19, Y20, Z20, AA20) + 1)))</f>
        <v>999</v>
      </c>
      <c r="AA19">
        <f>IF(Sheet1!$AG$1=1, IF(AND(COLUMN()-1=Sheet1!$AF$4, 32-ROW()=Sheet1!$AG$4), 0, 999), IF(COUNTIFS(Sheet1!$AK$1:$AK$50, COLUMN()-1, Sheet1!$AL$1:$AL$50, 32-ROW())&gt;0, 999, IF(AND(COLUMN()-1=Sheet1!$AF$4, 32-ROW()=Sheet1!$AG$4), 0, MIN(Z18, AA18, AB18, Z19, AB19, Z20, AA20, AB20) + 1)))</f>
        <v>999</v>
      </c>
      <c r="AB19">
        <f>IF(Sheet1!$AG$1=1, IF(AND(COLUMN()-1=Sheet1!$AF$4, 32-ROW()=Sheet1!$AG$4), 0, 999), IF(COUNTIFS(Sheet1!$AK$1:$AK$50, COLUMN()-1, Sheet1!$AL$1:$AL$50, 32-ROW())&gt;0, 999, IF(AND(COLUMN()-1=Sheet1!$AF$4, 32-ROW()=Sheet1!$AG$4), 0, MIN(AA18, AB18, AC18, AA19, AC19, AA20, AB20, AC20) + 1)))</f>
        <v>999</v>
      </c>
      <c r="AC19">
        <f>IF(Sheet1!$AG$1=1, IF(AND(COLUMN()-1=Sheet1!$AF$4, 32-ROW()=Sheet1!$AG$4), 0, 999), IF(COUNTIFS(Sheet1!$AK$1:$AK$50, COLUMN()-1, Sheet1!$AL$1:$AL$50, 32-ROW())&gt;0, 999, IF(AND(COLUMN()-1=Sheet1!$AF$4, 32-ROW()=Sheet1!$AG$4), 0, MIN(AB18, AC18, AD18, AB19, AD19, AB20, AC20, AD20) + 1)))</f>
        <v>999</v>
      </c>
      <c r="AD19">
        <f>IF(Sheet1!$AG$1=1, IF(AND(COLUMN()-1=Sheet1!$AF$4, 32-ROW()=Sheet1!$AG$4), 0, 999), IF(COUNTIFS(Sheet1!$AK$1:$AK$50, COLUMN()-1, Sheet1!$AL$1:$AL$50, 32-ROW())&gt;0, 999, IF(AND(COLUMN()-1=Sheet1!$AF$4, 32-ROW()=Sheet1!$AG$4), 0, MIN(AC18, AD18, AE18, AC19, AE19, AC20, AD20, AE20) + 1)))</f>
        <v>999</v>
      </c>
      <c r="AE19">
        <f>IF(Sheet1!$AG$1=1, IF(AND(COLUMN()-1=Sheet1!$AF$4, 32-ROW()=Sheet1!$AG$4), 0, 999), IF(COUNTIFS(Sheet1!$AK$1:$AK$50, COLUMN()-1, Sheet1!$AL$1:$AL$50, 32-ROW())&gt;0, 999, IF(AND(COLUMN()-1=Sheet1!$AF$4, 32-ROW()=Sheet1!$AG$4), 0, MIN(AD18, AE18, AF18, AD19, AF19, AD20, AE20, AF20) + 1)))</f>
        <v>999</v>
      </c>
      <c r="AF19">
        <v>999</v>
      </c>
    </row>
    <row r="20" spans="1:32">
      <c r="A20">
        <v>999</v>
      </c>
      <c r="B20">
        <f>IF(Sheet1!$AG$1=1, IF(AND(COLUMN()-1=Sheet1!$AF$4, 32-ROW()=Sheet1!$AG$4), 0, 999), IF(COUNTIFS(Sheet1!$AK$1:$AK$50, COLUMN()-1, Sheet1!$AL$1:$AL$50, 32-ROW())&gt;0, 999, IF(AND(COLUMN()-1=Sheet1!$AF$4, 32-ROW()=Sheet1!$AG$4), 0, MIN(A19, B19, C19, A20, C20, A21, B21, C21) + 1)))</f>
        <v>999</v>
      </c>
      <c r="C20">
        <f>IF(Sheet1!$AG$1=1, IF(AND(COLUMN()-1=Sheet1!$AF$4, 32-ROW()=Sheet1!$AG$4), 0, 999), IF(COUNTIFS(Sheet1!$AK$1:$AK$50, COLUMN()-1, Sheet1!$AL$1:$AL$50, 32-ROW())&gt;0, 999, IF(AND(COLUMN()-1=Sheet1!$AF$4, 32-ROW()=Sheet1!$AG$4), 0, MIN(B19, C19, D19, B20, D20, B21, C21, D21) + 1)))</f>
        <v>999</v>
      </c>
      <c r="D20">
        <f>IF(Sheet1!$AG$1=1, IF(AND(COLUMN()-1=Sheet1!$AF$4, 32-ROW()=Sheet1!$AG$4), 0, 999), IF(COUNTIFS(Sheet1!$AK$1:$AK$50, COLUMN()-1, Sheet1!$AL$1:$AL$50, 32-ROW())&gt;0, 999, IF(AND(COLUMN()-1=Sheet1!$AF$4, 32-ROW()=Sheet1!$AG$4), 0, MIN(C19, D19, E19, C20, E20, C21, D21, E21) + 1)))</f>
        <v>999</v>
      </c>
      <c r="E20">
        <f>IF(Sheet1!$AG$1=1, IF(AND(COLUMN()-1=Sheet1!$AF$4, 32-ROW()=Sheet1!$AG$4), 0, 999), IF(COUNTIFS(Sheet1!$AK$1:$AK$50, COLUMN()-1, Sheet1!$AL$1:$AL$50, 32-ROW())&gt;0, 999, IF(AND(COLUMN()-1=Sheet1!$AF$4, 32-ROW()=Sheet1!$AG$4), 0, MIN(D19, E19, F19, D20, F20, D21, E21, F21) + 1)))</f>
        <v>999</v>
      </c>
      <c r="F20">
        <f>IF(Sheet1!$AG$1=1, IF(AND(COLUMN()-1=Sheet1!$AF$4, 32-ROW()=Sheet1!$AG$4), 0, 999), IF(COUNTIFS(Sheet1!$AK$1:$AK$50, COLUMN()-1, Sheet1!$AL$1:$AL$50, 32-ROW())&gt;0, 999, IF(AND(COLUMN()-1=Sheet1!$AF$4, 32-ROW()=Sheet1!$AG$4), 0, MIN(E19, F19, G19, E20, G20, E21, F21, G21) + 1)))</f>
        <v>999</v>
      </c>
      <c r="G20">
        <f>IF(Sheet1!$AG$1=1, IF(AND(COLUMN()-1=Sheet1!$AF$4, 32-ROW()=Sheet1!$AG$4), 0, 999), IF(COUNTIFS(Sheet1!$AK$1:$AK$50, COLUMN()-1, Sheet1!$AL$1:$AL$50, 32-ROW())&gt;0, 999, IF(AND(COLUMN()-1=Sheet1!$AF$4, 32-ROW()=Sheet1!$AG$4), 0, MIN(F19, G19, H19, F20, H20, F21, G21, H21) + 1)))</f>
        <v>999</v>
      </c>
      <c r="H20">
        <f>IF(Sheet1!$AG$1=1, IF(AND(COLUMN()-1=Sheet1!$AF$4, 32-ROW()=Sheet1!$AG$4), 0, 999), IF(COUNTIFS(Sheet1!$AK$1:$AK$50, COLUMN()-1, Sheet1!$AL$1:$AL$50, 32-ROW())&gt;0, 999, IF(AND(COLUMN()-1=Sheet1!$AF$4, 32-ROW()=Sheet1!$AG$4), 0, MIN(G19, H19, I19, G20, I20, G21, H21, I21) + 1)))</f>
        <v>999</v>
      </c>
      <c r="I20">
        <f>IF(Sheet1!$AG$1=1, IF(AND(COLUMN()-1=Sheet1!$AF$4, 32-ROW()=Sheet1!$AG$4), 0, 999), IF(COUNTIFS(Sheet1!$AK$1:$AK$50, COLUMN()-1, Sheet1!$AL$1:$AL$50, 32-ROW())&gt;0, 999, IF(AND(COLUMN()-1=Sheet1!$AF$4, 32-ROW()=Sheet1!$AG$4), 0, MIN(H19, I19, J19, H20, J20, H21, I21, J21) + 1)))</f>
        <v>999</v>
      </c>
      <c r="J20">
        <f>IF(Sheet1!$AG$1=1, IF(AND(COLUMN()-1=Sheet1!$AF$4, 32-ROW()=Sheet1!$AG$4), 0, 999), IF(COUNTIFS(Sheet1!$AK$1:$AK$50, COLUMN()-1, Sheet1!$AL$1:$AL$50, 32-ROW())&gt;0, 999, IF(AND(COLUMN()-1=Sheet1!$AF$4, 32-ROW()=Sheet1!$AG$4), 0, MIN(I19, J19, K19, I20, K20, I21, J21, K21) + 1)))</f>
        <v>999</v>
      </c>
      <c r="K20">
        <f>IF(Sheet1!$AG$1=1, IF(AND(COLUMN()-1=Sheet1!$AF$4, 32-ROW()=Sheet1!$AG$4), 0, 999), IF(COUNTIFS(Sheet1!$AK$1:$AK$50, COLUMN()-1, Sheet1!$AL$1:$AL$50, 32-ROW())&gt;0, 999, IF(AND(COLUMN()-1=Sheet1!$AF$4, 32-ROW()=Sheet1!$AG$4), 0, MIN(J19, K19, L19, J20, L20, J21, K21, L21) + 1)))</f>
        <v>999</v>
      </c>
      <c r="L20">
        <f>IF(Sheet1!$AG$1=1, IF(AND(COLUMN()-1=Sheet1!$AF$4, 32-ROW()=Sheet1!$AG$4), 0, 999), IF(COUNTIFS(Sheet1!$AK$1:$AK$50, COLUMN()-1, Sheet1!$AL$1:$AL$50, 32-ROW())&gt;0, 999, IF(AND(COLUMN()-1=Sheet1!$AF$4, 32-ROW()=Sheet1!$AG$4), 0, MIN(K19, L19, M19, K20, M20, K21, L21, M21) + 1)))</f>
        <v>999</v>
      </c>
      <c r="M20">
        <f>IF(Sheet1!$AG$1=1, IF(AND(COLUMN()-1=Sheet1!$AF$4, 32-ROW()=Sheet1!$AG$4), 0, 999), IF(COUNTIFS(Sheet1!$AK$1:$AK$50, COLUMN()-1, Sheet1!$AL$1:$AL$50, 32-ROW())&gt;0, 999, IF(AND(COLUMN()-1=Sheet1!$AF$4, 32-ROW()=Sheet1!$AG$4), 0, MIN(L19, M19, N19, L20, N20, L21, M21, N21) + 1)))</f>
        <v>999</v>
      </c>
      <c r="N20">
        <f>IF(Sheet1!$AG$1=1, IF(AND(COLUMN()-1=Sheet1!$AF$4, 32-ROW()=Sheet1!$AG$4), 0, 999), IF(COUNTIFS(Sheet1!$AK$1:$AK$50, COLUMN()-1, Sheet1!$AL$1:$AL$50, 32-ROW())&gt;0, 999, IF(AND(COLUMN()-1=Sheet1!$AF$4, 32-ROW()=Sheet1!$AG$4), 0, MIN(M19, N19, O19, M20, O20, M21, N21, O21) + 1)))</f>
        <v>999</v>
      </c>
      <c r="O20">
        <f>IF(Sheet1!$AG$1=1, IF(AND(COLUMN()-1=Sheet1!$AF$4, 32-ROW()=Sheet1!$AG$4), 0, 999), IF(COUNTIFS(Sheet1!$AK$1:$AK$50, COLUMN()-1, Sheet1!$AL$1:$AL$50, 32-ROW())&gt;0, 999, IF(AND(COLUMN()-1=Sheet1!$AF$4, 32-ROW()=Sheet1!$AG$4), 0, MIN(N19, O19, P19, N20, P20, N21, O21, P21) + 1)))</f>
        <v>999</v>
      </c>
      <c r="P20">
        <f>IF(Sheet1!$AG$1=1, IF(AND(COLUMN()-1=Sheet1!$AF$4, 32-ROW()=Sheet1!$AG$4), 0, 999), IF(COUNTIFS(Sheet1!$AK$1:$AK$50, COLUMN()-1, Sheet1!$AL$1:$AL$50, 32-ROW())&gt;0, 999, IF(AND(COLUMN()-1=Sheet1!$AF$4, 32-ROW()=Sheet1!$AG$4), 0, MIN(O19, P19, Q19, O20, Q20, O21, P21, Q21) + 1)))</f>
        <v>999</v>
      </c>
      <c r="Q20">
        <f>IF(Sheet1!$AG$1=1, IF(AND(COLUMN()-1=Sheet1!$AF$4, 32-ROW()=Sheet1!$AG$4), 0, 999), IF(COUNTIFS(Sheet1!$AK$1:$AK$50, COLUMN()-1, Sheet1!$AL$1:$AL$50, 32-ROW())&gt;0, 999, IF(AND(COLUMN()-1=Sheet1!$AF$4, 32-ROW()=Sheet1!$AG$4), 0, MIN(P19, Q19, R19, P20, R20, P21, Q21, R21) + 1)))</f>
        <v>999</v>
      </c>
      <c r="R20">
        <f>IF(Sheet1!$AG$1=1, IF(AND(COLUMN()-1=Sheet1!$AF$4, 32-ROW()=Sheet1!$AG$4), 0, 999), IF(COUNTIFS(Sheet1!$AK$1:$AK$50, COLUMN()-1, Sheet1!$AL$1:$AL$50, 32-ROW())&gt;0, 999, IF(AND(COLUMN()-1=Sheet1!$AF$4, 32-ROW()=Sheet1!$AG$4), 0, MIN(Q19, R19, S19, Q20, S20, Q21, R21, S21) + 1)))</f>
        <v>999</v>
      </c>
      <c r="S20">
        <f>IF(Sheet1!$AG$1=1, IF(AND(COLUMN()-1=Sheet1!$AF$4, 32-ROW()=Sheet1!$AG$4), 0, 999), IF(COUNTIFS(Sheet1!$AK$1:$AK$50, COLUMN()-1, Sheet1!$AL$1:$AL$50, 32-ROW())&gt;0, 999, IF(AND(COLUMN()-1=Sheet1!$AF$4, 32-ROW()=Sheet1!$AG$4), 0, MIN(R19, S19, T19, R20, T20, R21, S21, T21) + 1)))</f>
        <v>999</v>
      </c>
      <c r="T20">
        <f>IF(Sheet1!$AG$1=1, IF(AND(COLUMN()-1=Sheet1!$AF$4, 32-ROW()=Sheet1!$AG$4), 0, 999), IF(COUNTIFS(Sheet1!$AK$1:$AK$50, COLUMN()-1, Sheet1!$AL$1:$AL$50, 32-ROW())&gt;0, 999, IF(AND(COLUMN()-1=Sheet1!$AF$4, 32-ROW()=Sheet1!$AG$4), 0, MIN(S19, T19, U19, S20, U20, S21, T21, U21) + 1)))</f>
        <v>999</v>
      </c>
      <c r="U20">
        <f>IF(Sheet1!$AG$1=1, IF(AND(COLUMN()-1=Sheet1!$AF$4, 32-ROW()=Sheet1!$AG$4), 0, 999), IF(COUNTIFS(Sheet1!$AK$1:$AK$50, COLUMN()-1, Sheet1!$AL$1:$AL$50, 32-ROW())&gt;0, 999, IF(AND(COLUMN()-1=Sheet1!$AF$4, 32-ROW()=Sheet1!$AG$4), 0, MIN(T19, U19, V19, T20, V20, T21, U21, V21) + 1)))</f>
        <v>999</v>
      </c>
      <c r="V20">
        <f>IF(Sheet1!$AG$1=1, IF(AND(COLUMN()-1=Sheet1!$AF$4, 32-ROW()=Sheet1!$AG$4), 0, 999), IF(COUNTIFS(Sheet1!$AK$1:$AK$50, COLUMN()-1, Sheet1!$AL$1:$AL$50, 32-ROW())&gt;0, 999, IF(AND(COLUMN()-1=Sheet1!$AF$4, 32-ROW()=Sheet1!$AG$4), 0, MIN(U19, V19, W19, U20, W20, U21, V21, W21) + 1)))</f>
        <v>999</v>
      </c>
      <c r="W20">
        <f>IF(Sheet1!$AG$1=1, IF(AND(COLUMN()-1=Sheet1!$AF$4, 32-ROW()=Sheet1!$AG$4), 0, 999), IF(COUNTIFS(Sheet1!$AK$1:$AK$50, COLUMN()-1, Sheet1!$AL$1:$AL$50, 32-ROW())&gt;0, 999, IF(AND(COLUMN()-1=Sheet1!$AF$4, 32-ROW()=Sheet1!$AG$4), 0, MIN(V19, W19, X19, V20, X20, V21, W21, X21) + 1)))</f>
        <v>999</v>
      </c>
      <c r="X20">
        <f>IF(Sheet1!$AG$1=1, IF(AND(COLUMN()-1=Sheet1!$AF$4, 32-ROW()=Sheet1!$AG$4), 0, 999), IF(COUNTIFS(Sheet1!$AK$1:$AK$50, COLUMN()-1, Sheet1!$AL$1:$AL$50, 32-ROW())&gt;0, 999, IF(AND(COLUMN()-1=Sheet1!$AF$4, 32-ROW()=Sheet1!$AG$4), 0, MIN(W19, X19, Y19, W20, Y20, W21, X21, Y21) + 1)))</f>
        <v>999</v>
      </c>
      <c r="Y20">
        <f>IF(Sheet1!$AG$1=1, IF(AND(COLUMN()-1=Sheet1!$AF$4, 32-ROW()=Sheet1!$AG$4), 0, 999), IF(COUNTIFS(Sheet1!$AK$1:$AK$50, COLUMN()-1, Sheet1!$AL$1:$AL$50, 32-ROW())&gt;0, 999, IF(AND(COLUMN()-1=Sheet1!$AF$4, 32-ROW()=Sheet1!$AG$4), 0, MIN(X19, Y19, Z19, X20, Z20, X21, Y21, Z21) + 1)))</f>
        <v>999</v>
      </c>
      <c r="Z20">
        <f>IF(Sheet1!$AG$1=1, IF(AND(COLUMN()-1=Sheet1!$AF$4, 32-ROW()=Sheet1!$AG$4), 0, 999), IF(COUNTIFS(Sheet1!$AK$1:$AK$50, COLUMN()-1, Sheet1!$AL$1:$AL$50, 32-ROW())&gt;0, 999, IF(AND(COLUMN()-1=Sheet1!$AF$4, 32-ROW()=Sheet1!$AG$4), 0, MIN(Y19, Z19, AA19, Y20, AA20, Y21, Z21, AA21) + 1)))</f>
        <v>999</v>
      </c>
      <c r="AA20">
        <f>IF(Sheet1!$AG$1=1, IF(AND(COLUMN()-1=Sheet1!$AF$4, 32-ROW()=Sheet1!$AG$4), 0, 999), IF(COUNTIFS(Sheet1!$AK$1:$AK$50, COLUMN()-1, Sheet1!$AL$1:$AL$50, 32-ROW())&gt;0, 999, IF(AND(COLUMN()-1=Sheet1!$AF$4, 32-ROW()=Sheet1!$AG$4), 0, MIN(Z19, AA19, AB19, Z20, AB20, Z21, AA21, AB21) + 1)))</f>
        <v>999</v>
      </c>
      <c r="AB20">
        <f>IF(Sheet1!$AG$1=1, IF(AND(COLUMN()-1=Sheet1!$AF$4, 32-ROW()=Sheet1!$AG$4), 0, 999), IF(COUNTIFS(Sheet1!$AK$1:$AK$50, COLUMN()-1, Sheet1!$AL$1:$AL$50, 32-ROW())&gt;0, 999, IF(AND(COLUMN()-1=Sheet1!$AF$4, 32-ROW()=Sheet1!$AG$4), 0, MIN(AA19, AB19, AC19, AA20, AC20, AA21, AB21, AC21) + 1)))</f>
        <v>999</v>
      </c>
      <c r="AC20">
        <f>IF(Sheet1!$AG$1=1, IF(AND(COLUMN()-1=Sheet1!$AF$4, 32-ROW()=Sheet1!$AG$4), 0, 999), IF(COUNTIFS(Sheet1!$AK$1:$AK$50, COLUMN()-1, Sheet1!$AL$1:$AL$50, 32-ROW())&gt;0, 999, IF(AND(COLUMN()-1=Sheet1!$AF$4, 32-ROW()=Sheet1!$AG$4), 0, MIN(AB19, AC19, AD19, AB20, AD20, AB21, AC21, AD21) + 1)))</f>
        <v>999</v>
      </c>
      <c r="AD20">
        <f>IF(Sheet1!$AG$1=1, IF(AND(COLUMN()-1=Sheet1!$AF$4, 32-ROW()=Sheet1!$AG$4), 0, 999), IF(COUNTIFS(Sheet1!$AK$1:$AK$50, COLUMN()-1, Sheet1!$AL$1:$AL$50, 32-ROW())&gt;0, 999, IF(AND(COLUMN()-1=Sheet1!$AF$4, 32-ROW()=Sheet1!$AG$4), 0, MIN(AC19, AD19, AE19, AC20, AE20, AC21, AD21, AE21) + 1)))</f>
        <v>999</v>
      </c>
      <c r="AE20">
        <f>IF(Sheet1!$AG$1=1, IF(AND(COLUMN()-1=Sheet1!$AF$4, 32-ROW()=Sheet1!$AG$4), 0, 999), IF(COUNTIFS(Sheet1!$AK$1:$AK$50, COLUMN()-1, Sheet1!$AL$1:$AL$50, 32-ROW())&gt;0, 999, IF(AND(COLUMN()-1=Sheet1!$AF$4, 32-ROW()=Sheet1!$AG$4), 0, MIN(AD19, AE19, AF19, AD20, AF20, AD21, AE21, AF21) + 1)))</f>
        <v>999</v>
      </c>
      <c r="AF20">
        <v>999</v>
      </c>
    </row>
    <row r="21" spans="1:32">
      <c r="A21">
        <v>999</v>
      </c>
      <c r="B21">
        <f>IF(Sheet1!$AG$1=1, IF(AND(COLUMN()-1=Sheet1!$AF$4, 32-ROW()=Sheet1!$AG$4), 0, 999), IF(COUNTIFS(Sheet1!$AK$1:$AK$50, COLUMN()-1, Sheet1!$AL$1:$AL$50, 32-ROW())&gt;0, 999, IF(AND(COLUMN()-1=Sheet1!$AF$4, 32-ROW()=Sheet1!$AG$4), 0, MIN(A20, B20, C20, A21, C21, A22, B22, C22) + 1)))</f>
        <v>999</v>
      </c>
      <c r="C21">
        <f>IF(Sheet1!$AG$1=1, IF(AND(COLUMN()-1=Sheet1!$AF$4, 32-ROW()=Sheet1!$AG$4), 0, 999), IF(COUNTIFS(Sheet1!$AK$1:$AK$50, COLUMN()-1, Sheet1!$AL$1:$AL$50, 32-ROW())&gt;0, 999, IF(AND(COLUMN()-1=Sheet1!$AF$4, 32-ROW()=Sheet1!$AG$4), 0, MIN(B20, C20, D20, B21, D21, B22, C22, D22) + 1)))</f>
        <v>999</v>
      </c>
      <c r="D21">
        <f>IF(Sheet1!$AG$1=1, IF(AND(COLUMN()-1=Sheet1!$AF$4, 32-ROW()=Sheet1!$AG$4), 0, 999), IF(COUNTIFS(Sheet1!$AK$1:$AK$50, COLUMN()-1, Sheet1!$AL$1:$AL$50, 32-ROW())&gt;0, 999, IF(AND(COLUMN()-1=Sheet1!$AF$4, 32-ROW()=Sheet1!$AG$4), 0, MIN(C20, D20, E20, C21, E21, C22, D22, E22) + 1)))</f>
        <v>999</v>
      </c>
      <c r="E21">
        <f>IF(Sheet1!$AG$1=1, IF(AND(COLUMN()-1=Sheet1!$AF$4, 32-ROW()=Sheet1!$AG$4), 0, 999), IF(COUNTIFS(Sheet1!$AK$1:$AK$50, COLUMN()-1, Sheet1!$AL$1:$AL$50, 32-ROW())&gt;0, 999, IF(AND(COLUMN()-1=Sheet1!$AF$4, 32-ROW()=Sheet1!$AG$4), 0, MIN(D20, E20, F20, D21, F21, D22, E22, F22) + 1)))</f>
        <v>999</v>
      </c>
      <c r="F21">
        <f>IF(Sheet1!$AG$1=1, IF(AND(COLUMN()-1=Sheet1!$AF$4, 32-ROW()=Sheet1!$AG$4), 0, 999), IF(COUNTIFS(Sheet1!$AK$1:$AK$50, COLUMN()-1, Sheet1!$AL$1:$AL$50, 32-ROW())&gt;0, 999, IF(AND(COLUMN()-1=Sheet1!$AF$4, 32-ROW()=Sheet1!$AG$4), 0, MIN(E20, F20, G20, E21, G21, E22, F22, G22) + 1)))</f>
        <v>999</v>
      </c>
      <c r="G21">
        <f>IF(Sheet1!$AG$1=1, IF(AND(COLUMN()-1=Sheet1!$AF$4, 32-ROW()=Sheet1!$AG$4), 0, 999), IF(COUNTIFS(Sheet1!$AK$1:$AK$50, COLUMN()-1, Sheet1!$AL$1:$AL$50, 32-ROW())&gt;0, 999, IF(AND(COLUMN()-1=Sheet1!$AF$4, 32-ROW()=Sheet1!$AG$4), 0, MIN(F20, G20, H20, F21, H21, F22, G22, H22) + 1)))</f>
        <v>999</v>
      </c>
      <c r="H21">
        <f>IF(Sheet1!$AG$1=1, IF(AND(COLUMN()-1=Sheet1!$AF$4, 32-ROW()=Sheet1!$AG$4), 0, 999), IF(COUNTIFS(Sheet1!$AK$1:$AK$50, COLUMN()-1, Sheet1!$AL$1:$AL$50, 32-ROW())&gt;0, 999, IF(AND(COLUMN()-1=Sheet1!$AF$4, 32-ROW()=Sheet1!$AG$4), 0, MIN(G20, H20, I20, G21, I21, G22, H22, I22) + 1)))</f>
        <v>999</v>
      </c>
      <c r="I21">
        <f>IF(Sheet1!$AG$1=1, IF(AND(COLUMN()-1=Sheet1!$AF$4, 32-ROW()=Sheet1!$AG$4), 0, 999), IF(COUNTIFS(Sheet1!$AK$1:$AK$50, COLUMN()-1, Sheet1!$AL$1:$AL$50, 32-ROW())&gt;0, 999, IF(AND(COLUMN()-1=Sheet1!$AF$4, 32-ROW()=Sheet1!$AG$4), 0, MIN(H20, I20, J20, H21, J21, H22, I22, J22) + 1)))</f>
        <v>999</v>
      </c>
      <c r="J21">
        <f>IF(Sheet1!$AG$1=1, IF(AND(COLUMN()-1=Sheet1!$AF$4, 32-ROW()=Sheet1!$AG$4), 0, 999), IF(COUNTIFS(Sheet1!$AK$1:$AK$50, COLUMN()-1, Sheet1!$AL$1:$AL$50, 32-ROW())&gt;0, 999, IF(AND(COLUMN()-1=Sheet1!$AF$4, 32-ROW()=Sheet1!$AG$4), 0, MIN(I20, J20, K20, I21, K21, I22, J22, K22) + 1)))</f>
        <v>999</v>
      </c>
      <c r="K21">
        <f>IF(Sheet1!$AG$1=1, IF(AND(COLUMN()-1=Sheet1!$AF$4, 32-ROW()=Sheet1!$AG$4), 0, 999), IF(COUNTIFS(Sheet1!$AK$1:$AK$50, COLUMN()-1, Sheet1!$AL$1:$AL$50, 32-ROW())&gt;0, 999, IF(AND(COLUMN()-1=Sheet1!$AF$4, 32-ROW()=Sheet1!$AG$4), 0, MIN(J20, K20, L20, J21, L21, J22, K22, L22) + 1)))</f>
        <v>999</v>
      </c>
      <c r="L21">
        <f>IF(Sheet1!$AG$1=1, IF(AND(COLUMN()-1=Sheet1!$AF$4, 32-ROW()=Sheet1!$AG$4), 0, 999), IF(COUNTIFS(Sheet1!$AK$1:$AK$50, COLUMN()-1, Sheet1!$AL$1:$AL$50, 32-ROW())&gt;0, 999, IF(AND(COLUMN()-1=Sheet1!$AF$4, 32-ROW()=Sheet1!$AG$4), 0, MIN(K20, L20, M20, K21, M21, K22, L22, M22) + 1)))</f>
        <v>999</v>
      </c>
      <c r="M21">
        <f>IF(Sheet1!$AG$1=1, IF(AND(COLUMN()-1=Sheet1!$AF$4, 32-ROW()=Sheet1!$AG$4), 0, 999), IF(COUNTIFS(Sheet1!$AK$1:$AK$50, COLUMN()-1, Sheet1!$AL$1:$AL$50, 32-ROW())&gt;0, 999, IF(AND(COLUMN()-1=Sheet1!$AF$4, 32-ROW()=Sheet1!$AG$4), 0, MIN(L20, M20, N20, L21, N21, L22, M22, N22) + 1)))</f>
        <v>999</v>
      </c>
      <c r="N21">
        <f>IF(Sheet1!$AG$1=1, IF(AND(COLUMN()-1=Sheet1!$AF$4, 32-ROW()=Sheet1!$AG$4), 0, 999), IF(COUNTIFS(Sheet1!$AK$1:$AK$50, COLUMN()-1, Sheet1!$AL$1:$AL$50, 32-ROW())&gt;0, 999, IF(AND(COLUMN()-1=Sheet1!$AF$4, 32-ROW()=Sheet1!$AG$4), 0, MIN(M20, N20, O20, M21, O21, M22, N22, O22) + 1)))</f>
        <v>999</v>
      </c>
      <c r="O21">
        <f>IF(Sheet1!$AG$1=1, IF(AND(COLUMN()-1=Sheet1!$AF$4, 32-ROW()=Sheet1!$AG$4), 0, 999), IF(COUNTIFS(Sheet1!$AK$1:$AK$50, COLUMN()-1, Sheet1!$AL$1:$AL$50, 32-ROW())&gt;0, 999, IF(AND(COLUMN()-1=Sheet1!$AF$4, 32-ROW()=Sheet1!$AG$4), 0, MIN(N20, O20, P20, N21, P21, N22, O22, P22) + 1)))</f>
        <v>999</v>
      </c>
      <c r="P21">
        <f>IF(Sheet1!$AG$1=1, IF(AND(COLUMN()-1=Sheet1!$AF$4, 32-ROW()=Sheet1!$AG$4), 0, 999), IF(COUNTIFS(Sheet1!$AK$1:$AK$50, COLUMN()-1, Sheet1!$AL$1:$AL$50, 32-ROW())&gt;0, 999, IF(AND(COLUMN()-1=Sheet1!$AF$4, 32-ROW()=Sheet1!$AG$4), 0, MIN(O20, P20, Q20, O21, Q21, O22, P22, Q22) + 1)))</f>
        <v>999</v>
      </c>
      <c r="Q21">
        <f>IF(Sheet1!$AG$1=1, IF(AND(COLUMN()-1=Sheet1!$AF$4, 32-ROW()=Sheet1!$AG$4), 0, 999), IF(COUNTIFS(Sheet1!$AK$1:$AK$50, COLUMN()-1, Sheet1!$AL$1:$AL$50, 32-ROW())&gt;0, 999, IF(AND(COLUMN()-1=Sheet1!$AF$4, 32-ROW()=Sheet1!$AG$4), 0, MIN(P20, Q20, R20, P21, R21, P22, Q22, R22) + 1)))</f>
        <v>999</v>
      </c>
      <c r="R21">
        <f>IF(Sheet1!$AG$1=1, IF(AND(COLUMN()-1=Sheet1!$AF$4, 32-ROW()=Sheet1!$AG$4), 0, 999), IF(COUNTIFS(Sheet1!$AK$1:$AK$50, COLUMN()-1, Sheet1!$AL$1:$AL$50, 32-ROW())&gt;0, 999, IF(AND(COLUMN()-1=Sheet1!$AF$4, 32-ROW()=Sheet1!$AG$4), 0, MIN(Q20, R20, S20, Q21, S21, Q22, R22, S22) + 1)))</f>
        <v>999</v>
      </c>
      <c r="S21">
        <f>IF(Sheet1!$AG$1=1, IF(AND(COLUMN()-1=Sheet1!$AF$4, 32-ROW()=Sheet1!$AG$4), 0, 999), IF(COUNTIFS(Sheet1!$AK$1:$AK$50, COLUMN()-1, Sheet1!$AL$1:$AL$50, 32-ROW())&gt;0, 999, IF(AND(COLUMN()-1=Sheet1!$AF$4, 32-ROW()=Sheet1!$AG$4), 0, MIN(R20, S20, T20, R21, T21, R22, S22, T22) + 1)))</f>
        <v>999</v>
      </c>
      <c r="T21">
        <f>IF(Sheet1!$AG$1=1, IF(AND(COLUMN()-1=Sheet1!$AF$4, 32-ROW()=Sheet1!$AG$4), 0, 999), IF(COUNTIFS(Sheet1!$AK$1:$AK$50, COLUMN()-1, Sheet1!$AL$1:$AL$50, 32-ROW())&gt;0, 999, IF(AND(COLUMN()-1=Sheet1!$AF$4, 32-ROW()=Sheet1!$AG$4), 0, MIN(S20, T20, U20, S21, U21, S22, T22, U22) + 1)))</f>
        <v>999</v>
      </c>
      <c r="U21">
        <f>IF(Sheet1!$AG$1=1, IF(AND(COLUMN()-1=Sheet1!$AF$4, 32-ROW()=Sheet1!$AG$4), 0, 999), IF(COUNTIFS(Sheet1!$AK$1:$AK$50, COLUMN()-1, Sheet1!$AL$1:$AL$50, 32-ROW())&gt;0, 999, IF(AND(COLUMN()-1=Sheet1!$AF$4, 32-ROW()=Sheet1!$AG$4), 0, MIN(T20, U20, V20, T21, V21, T22, U22, V22) + 1)))</f>
        <v>999</v>
      </c>
      <c r="V21">
        <f>IF(Sheet1!$AG$1=1, IF(AND(COLUMN()-1=Sheet1!$AF$4, 32-ROW()=Sheet1!$AG$4), 0, 999), IF(COUNTIFS(Sheet1!$AK$1:$AK$50, COLUMN()-1, Sheet1!$AL$1:$AL$50, 32-ROW())&gt;0, 999, IF(AND(COLUMN()-1=Sheet1!$AF$4, 32-ROW()=Sheet1!$AG$4), 0, MIN(U20, V20, W20, U21, W21, U22, V22, W22) + 1)))</f>
        <v>999</v>
      </c>
      <c r="W21">
        <f>IF(Sheet1!$AG$1=1, IF(AND(COLUMN()-1=Sheet1!$AF$4, 32-ROW()=Sheet1!$AG$4), 0, 999), IF(COUNTIFS(Sheet1!$AK$1:$AK$50, COLUMN()-1, Sheet1!$AL$1:$AL$50, 32-ROW())&gt;0, 999, IF(AND(COLUMN()-1=Sheet1!$AF$4, 32-ROW()=Sheet1!$AG$4), 0, MIN(V20, W20, X20, V21, X21, V22, W22, X22) + 1)))</f>
        <v>999</v>
      </c>
      <c r="X21">
        <f>IF(Sheet1!$AG$1=1, IF(AND(COLUMN()-1=Sheet1!$AF$4, 32-ROW()=Sheet1!$AG$4), 0, 999), IF(COUNTIFS(Sheet1!$AK$1:$AK$50, COLUMN()-1, Sheet1!$AL$1:$AL$50, 32-ROW())&gt;0, 999, IF(AND(COLUMN()-1=Sheet1!$AF$4, 32-ROW()=Sheet1!$AG$4), 0, MIN(W20, X20, Y20, W21, Y21, W22, X22, Y22) + 1)))</f>
        <v>999</v>
      </c>
      <c r="Y21">
        <f>IF(Sheet1!$AG$1=1, IF(AND(COLUMN()-1=Sheet1!$AF$4, 32-ROW()=Sheet1!$AG$4), 0, 999), IF(COUNTIFS(Sheet1!$AK$1:$AK$50, COLUMN()-1, Sheet1!$AL$1:$AL$50, 32-ROW())&gt;0, 999, IF(AND(COLUMN()-1=Sheet1!$AF$4, 32-ROW()=Sheet1!$AG$4), 0, MIN(X20, Y20, Z20, X21, Z21, X22, Y22, Z22) + 1)))</f>
        <v>999</v>
      </c>
      <c r="Z21">
        <f>IF(Sheet1!$AG$1=1, IF(AND(COLUMN()-1=Sheet1!$AF$4, 32-ROW()=Sheet1!$AG$4), 0, 999), IF(COUNTIFS(Sheet1!$AK$1:$AK$50, COLUMN()-1, Sheet1!$AL$1:$AL$50, 32-ROW())&gt;0, 999, IF(AND(COLUMN()-1=Sheet1!$AF$4, 32-ROW()=Sheet1!$AG$4), 0, MIN(Y20, Z20, AA20, Y21, AA21, Y22, Z22, AA22) + 1)))</f>
        <v>999</v>
      </c>
      <c r="AA21">
        <f>IF(Sheet1!$AG$1=1, IF(AND(COLUMN()-1=Sheet1!$AF$4, 32-ROW()=Sheet1!$AG$4), 0, 999), IF(COUNTIFS(Sheet1!$AK$1:$AK$50, COLUMN()-1, Sheet1!$AL$1:$AL$50, 32-ROW())&gt;0, 999, IF(AND(COLUMN()-1=Sheet1!$AF$4, 32-ROW()=Sheet1!$AG$4), 0, MIN(Z20, AA20, AB20, Z21, AB21, Z22, AA22, AB22) + 1)))</f>
        <v>999</v>
      </c>
      <c r="AB21">
        <f>IF(Sheet1!$AG$1=1, IF(AND(COLUMN()-1=Sheet1!$AF$4, 32-ROW()=Sheet1!$AG$4), 0, 999), IF(COUNTIFS(Sheet1!$AK$1:$AK$50, COLUMN()-1, Sheet1!$AL$1:$AL$50, 32-ROW())&gt;0, 999, IF(AND(COLUMN()-1=Sheet1!$AF$4, 32-ROW()=Sheet1!$AG$4), 0, MIN(AA20, AB20, AC20, AA21, AC21, AA22, AB22, AC22) + 1)))</f>
        <v>999</v>
      </c>
      <c r="AC21">
        <f>IF(Sheet1!$AG$1=1, IF(AND(COLUMN()-1=Sheet1!$AF$4, 32-ROW()=Sheet1!$AG$4), 0, 999), IF(COUNTIFS(Sheet1!$AK$1:$AK$50, COLUMN()-1, Sheet1!$AL$1:$AL$50, 32-ROW())&gt;0, 999, IF(AND(COLUMN()-1=Sheet1!$AF$4, 32-ROW()=Sheet1!$AG$4), 0, MIN(AB20, AC20, AD20, AB21, AD21, AB22, AC22, AD22) + 1)))</f>
        <v>999</v>
      </c>
      <c r="AD21">
        <f>IF(Sheet1!$AG$1=1, IF(AND(COLUMN()-1=Sheet1!$AF$4, 32-ROW()=Sheet1!$AG$4), 0, 999), IF(COUNTIFS(Sheet1!$AK$1:$AK$50, COLUMN()-1, Sheet1!$AL$1:$AL$50, 32-ROW())&gt;0, 999, IF(AND(COLUMN()-1=Sheet1!$AF$4, 32-ROW()=Sheet1!$AG$4), 0, MIN(AC20, AD20, AE20, AC21, AE21, AC22, AD22, AE22) + 1)))</f>
        <v>999</v>
      </c>
      <c r="AE21">
        <f>IF(Sheet1!$AG$1=1, IF(AND(COLUMN()-1=Sheet1!$AF$4, 32-ROW()=Sheet1!$AG$4), 0, 999), IF(COUNTIFS(Sheet1!$AK$1:$AK$50, COLUMN()-1, Sheet1!$AL$1:$AL$50, 32-ROW())&gt;0, 999, IF(AND(COLUMN()-1=Sheet1!$AF$4, 32-ROW()=Sheet1!$AG$4), 0, MIN(AD20, AE20, AF20, AD21, AF21, AD22, AE22, AF22) + 1)))</f>
        <v>999</v>
      </c>
      <c r="AF21">
        <v>999</v>
      </c>
    </row>
    <row r="22" spans="1:32">
      <c r="A22">
        <v>999</v>
      </c>
      <c r="B22">
        <f>IF(Sheet1!$AG$1=1, IF(AND(COLUMN()-1=Sheet1!$AF$4, 32-ROW()=Sheet1!$AG$4), 0, 999), IF(COUNTIFS(Sheet1!$AK$1:$AK$50, COLUMN()-1, Sheet1!$AL$1:$AL$50, 32-ROW())&gt;0, 999, IF(AND(COLUMN()-1=Sheet1!$AF$4, 32-ROW()=Sheet1!$AG$4), 0, MIN(A21, B21, C21, A22, C22, A23, B23, C23) + 1)))</f>
        <v>999</v>
      </c>
      <c r="C22">
        <f>IF(Sheet1!$AG$1=1, IF(AND(COLUMN()-1=Sheet1!$AF$4, 32-ROW()=Sheet1!$AG$4), 0, 999), IF(COUNTIFS(Sheet1!$AK$1:$AK$50, COLUMN()-1, Sheet1!$AL$1:$AL$50, 32-ROW())&gt;0, 999, IF(AND(COLUMN()-1=Sheet1!$AF$4, 32-ROW()=Sheet1!$AG$4), 0, MIN(B21, C21, D21, B22, D22, B23, C23, D23) + 1)))</f>
        <v>999</v>
      </c>
      <c r="D22">
        <f>IF(Sheet1!$AG$1=1, IF(AND(COLUMN()-1=Sheet1!$AF$4, 32-ROW()=Sheet1!$AG$4), 0, 999), IF(COUNTIFS(Sheet1!$AK$1:$AK$50, COLUMN()-1, Sheet1!$AL$1:$AL$50, 32-ROW())&gt;0, 999, IF(AND(COLUMN()-1=Sheet1!$AF$4, 32-ROW()=Sheet1!$AG$4), 0, MIN(C21, D21, E21, C22, E22, C23, D23, E23) + 1)))</f>
        <v>999</v>
      </c>
      <c r="E22">
        <f>IF(Sheet1!$AG$1=1, IF(AND(COLUMN()-1=Sheet1!$AF$4, 32-ROW()=Sheet1!$AG$4), 0, 999), IF(COUNTIFS(Sheet1!$AK$1:$AK$50, COLUMN()-1, Sheet1!$AL$1:$AL$50, 32-ROW())&gt;0, 999, IF(AND(COLUMN()-1=Sheet1!$AF$4, 32-ROW()=Sheet1!$AG$4), 0, MIN(D21, E21, F21, D22, F22, D23, E23, F23) + 1)))</f>
        <v>999</v>
      </c>
      <c r="F22">
        <f>IF(Sheet1!$AG$1=1, IF(AND(COLUMN()-1=Sheet1!$AF$4, 32-ROW()=Sheet1!$AG$4), 0, 999), IF(COUNTIFS(Sheet1!$AK$1:$AK$50, COLUMN()-1, Sheet1!$AL$1:$AL$50, 32-ROW())&gt;0, 999, IF(AND(COLUMN()-1=Sheet1!$AF$4, 32-ROW()=Sheet1!$AG$4), 0, MIN(E21, F21, G21, E22, G22, E23, F23, G23) + 1)))</f>
        <v>999</v>
      </c>
      <c r="G22">
        <f>IF(Sheet1!$AG$1=1, IF(AND(COLUMN()-1=Sheet1!$AF$4, 32-ROW()=Sheet1!$AG$4), 0, 999), IF(COUNTIFS(Sheet1!$AK$1:$AK$50, COLUMN()-1, Sheet1!$AL$1:$AL$50, 32-ROW())&gt;0, 999, IF(AND(COLUMN()-1=Sheet1!$AF$4, 32-ROW()=Sheet1!$AG$4), 0, MIN(F21, G21, H21, F22, H22, F23, G23, H23) + 1)))</f>
        <v>999</v>
      </c>
      <c r="H22">
        <f>IF(Sheet1!$AG$1=1, IF(AND(COLUMN()-1=Sheet1!$AF$4, 32-ROW()=Sheet1!$AG$4), 0, 999), IF(COUNTIFS(Sheet1!$AK$1:$AK$50, COLUMN()-1, Sheet1!$AL$1:$AL$50, 32-ROW())&gt;0, 999, IF(AND(COLUMN()-1=Sheet1!$AF$4, 32-ROW()=Sheet1!$AG$4), 0, MIN(G21, H21, I21, G22, I22, G23, H23, I23) + 1)))</f>
        <v>999</v>
      </c>
      <c r="I22">
        <f>IF(Sheet1!$AG$1=1, IF(AND(COLUMN()-1=Sheet1!$AF$4, 32-ROW()=Sheet1!$AG$4), 0, 999), IF(COUNTIFS(Sheet1!$AK$1:$AK$50, COLUMN()-1, Sheet1!$AL$1:$AL$50, 32-ROW())&gt;0, 999, IF(AND(COLUMN()-1=Sheet1!$AF$4, 32-ROW()=Sheet1!$AG$4), 0, MIN(H21, I21, J21, H22, J22, H23, I23, J23) + 1)))</f>
        <v>999</v>
      </c>
      <c r="J22">
        <f>IF(Sheet1!$AG$1=1, IF(AND(COLUMN()-1=Sheet1!$AF$4, 32-ROW()=Sheet1!$AG$4), 0, 999), IF(COUNTIFS(Sheet1!$AK$1:$AK$50, COLUMN()-1, Sheet1!$AL$1:$AL$50, 32-ROW())&gt;0, 999, IF(AND(COLUMN()-1=Sheet1!$AF$4, 32-ROW()=Sheet1!$AG$4), 0, MIN(I21, J21, K21, I22, K22, I23, J23, K23) + 1)))</f>
        <v>999</v>
      </c>
      <c r="K22">
        <f>IF(Sheet1!$AG$1=1, IF(AND(COLUMN()-1=Sheet1!$AF$4, 32-ROW()=Sheet1!$AG$4), 0, 999), IF(COUNTIFS(Sheet1!$AK$1:$AK$50, COLUMN()-1, Sheet1!$AL$1:$AL$50, 32-ROW())&gt;0, 999, IF(AND(COLUMN()-1=Sheet1!$AF$4, 32-ROW()=Sheet1!$AG$4), 0, MIN(J21, K21, L21, J22, L22, J23, K23, L23) + 1)))</f>
        <v>999</v>
      </c>
      <c r="L22">
        <f>IF(Sheet1!$AG$1=1, IF(AND(COLUMN()-1=Sheet1!$AF$4, 32-ROW()=Sheet1!$AG$4), 0, 999), IF(COUNTIFS(Sheet1!$AK$1:$AK$50, COLUMN()-1, Sheet1!$AL$1:$AL$50, 32-ROW())&gt;0, 999, IF(AND(COLUMN()-1=Sheet1!$AF$4, 32-ROW()=Sheet1!$AG$4), 0, MIN(K21, L21, M21, K22, M22, K23, L23, M23) + 1)))</f>
        <v>999</v>
      </c>
      <c r="M22">
        <f>IF(Sheet1!$AG$1=1, IF(AND(COLUMN()-1=Sheet1!$AF$4, 32-ROW()=Sheet1!$AG$4), 0, 999), IF(COUNTIFS(Sheet1!$AK$1:$AK$50, COLUMN()-1, Sheet1!$AL$1:$AL$50, 32-ROW())&gt;0, 999, IF(AND(COLUMN()-1=Sheet1!$AF$4, 32-ROW()=Sheet1!$AG$4), 0, MIN(L21, M21, N21, L22, N22, L23, M23, N23) + 1)))</f>
        <v>999</v>
      </c>
      <c r="N22">
        <f>IF(Sheet1!$AG$1=1, IF(AND(COLUMN()-1=Sheet1!$AF$4, 32-ROW()=Sheet1!$AG$4), 0, 999), IF(COUNTIFS(Sheet1!$AK$1:$AK$50, COLUMN()-1, Sheet1!$AL$1:$AL$50, 32-ROW())&gt;0, 999, IF(AND(COLUMN()-1=Sheet1!$AF$4, 32-ROW()=Sheet1!$AG$4), 0, MIN(M21, N21, O21, M22, O22, M23, N23, O23) + 1)))</f>
        <v>999</v>
      </c>
      <c r="O22">
        <f>IF(Sheet1!$AG$1=1, IF(AND(COLUMN()-1=Sheet1!$AF$4, 32-ROW()=Sheet1!$AG$4), 0, 999), IF(COUNTIFS(Sheet1!$AK$1:$AK$50, COLUMN()-1, Sheet1!$AL$1:$AL$50, 32-ROW())&gt;0, 999, IF(AND(COLUMN()-1=Sheet1!$AF$4, 32-ROW()=Sheet1!$AG$4), 0, MIN(N21, O21, P21, N22, P22, N23, O23, P23) + 1)))</f>
        <v>999</v>
      </c>
      <c r="P22">
        <f>IF(Sheet1!$AG$1=1, IF(AND(COLUMN()-1=Sheet1!$AF$4, 32-ROW()=Sheet1!$AG$4), 0, 999), IF(COUNTIFS(Sheet1!$AK$1:$AK$50, COLUMN()-1, Sheet1!$AL$1:$AL$50, 32-ROW())&gt;0, 999, IF(AND(COLUMN()-1=Sheet1!$AF$4, 32-ROW()=Sheet1!$AG$4), 0, MIN(O21, P21, Q21, O22, Q22, O23, P23, Q23) + 1)))</f>
        <v>999</v>
      </c>
      <c r="Q22">
        <f>IF(Sheet1!$AG$1=1, IF(AND(COLUMN()-1=Sheet1!$AF$4, 32-ROW()=Sheet1!$AG$4), 0, 999), IF(COUNTIFS(Sheet1!$AK$1:$AK$50, COLUMN()-1, Sheet1!$AL$1:$AL$50, 32-ROW())&gt;0, 999, IF(AND(COLUMN()-1=Sheet1!$AF$4, 32-ROW()=Sheet1!$AG$4), 0, MIN(P21, Q21, R21, P22, R22, P23, Q23, R23) + 1)))</f>
        <v>999</v>
      </c>
      <c r="R22">
        <f>IF(Sheet1!$AG$1=1, IF(AND(COLUMN()-1=Sheet1!$AF$4, 32-ROW()=Sheet1!$AG$4), 0, 999), IF(COUNTIFS(Sheet1!$AK$1:$AK$50, COLUMN()-1, Sheet1!$AL$1:$AL$50, 32-ROW())&gt;0, 999, IF(AND(COLUMN()-1=Sheet1!$AF$4, 32-ROW()=Sheet1!$AG$4), 0, MIN(Q21, R21, S21, Q22, S22, Q23, R23, S23) + 1)))</f>
        <v>999</v>
      </c>
      <c r="S22">
        <f>IF(Sheet1!$AG$1=1, IF(AND(COLUMN()-1=Sheet1!$AF$4, 32-ROW()=Sheet1!$AG$4), 0, 999), IF(COUNTIFS(Sheet1!$AK$1:$AK$50, COLUMN()-1, Sheet1!$AL$1:$AL$50, 32-ROW())&gt;0, 999, IF(AND(COLUMN()-1=Sheet1!$AF$4, 32-ROW()=Sheet1!$AG$4), 0, MIN(R21, S21, T21, R22, T22, R23, S23, T23) + 1)))</f>
        <v>999</v>
      </c>
      <c r="T22">
        <f>IF(Sheet1!$AG$1=1, IF(AND(COLUMN()-1=Sheet1!$AF$4, 32-ROW()=Sheet1!$AG$4), 0, 999), IF(COUNTIFS(Sheet1!$AK$1:$AK$50, COLUMN()-1, Sheet1!$AL$1:$AL$50, 32-ROW())&gt;0, 999, IF(AND(COLUMN()-1=Sheet1!$AF$4, 32-ROW()=Sheet1!$AG$4), 0, MIN(S21, T21, U21, S22, U22, S23, T23, U23) + 1)))</f>
        <v>999</v>
      </c>
      <c r="U22">
        <f>IF(Sheet1!$AG$1=1, IF(AND(COLUMN()-1=Sheet1!$AF$4, 32-ROW()=Sheet1!$AG$4), 0, 999), IF(COUNTIFS(Sheet1!$AK$1:$AK$50, COLUMN()-1, Sheet1!$AL$1:$AL$50, 32-ROW())&gt;0, 999, IF(AND(COLUMN()-1=Sheet1!$AF$4, 32-ROW()=Sheet1!$AG$4), 0, MIN(T21, U21, V21, T22, V22, T23, U23, V23) + 1)))</f>
        <v>999</v>
      </c>
      <c r="V22">
        <f>IF(Sheet1!$AG$1=1, IF(AND(COLUMN()-1=Sheet1!$AF$4, 32-ROW()=Sheet1!$AG$4), 0, 999), IF(COUNTIFS(Sheet1!$AK$1:$AK$50, COLUMN()-1, Sheet1!$AL$1:$AL$50, 32-ROW())&gt;0, 999, IF(AND(COLUMN()-1=Sheet1!$AF$4, 32-ROW()=Sheet1!$AG$4), 0, MIN(U21, V21, W21, U22, W22, U23, V23, W23) + 1)))</f>
        <v>999</v>
      </c>
      <c r="W22">
        <f>IF(Sheet1!$AG$1=1, IF(AND(COLUMN()-1=Sheet1!$AF$4, 32-ROW()=Sheet1!$AG$4), 0, 999), IF(COUNTIFS(Sheet1!$AK$1:$AK$50, COLUMN()-1, Sheet1!$AL$1:$AL$50, 32-ROW())&gt;0, 999, IF(AND(COLUMN()-1=Sheet1!$AF$4, 32-ROW()=Sheet1!$AG$4), 0, MIN(V21, W21, X21, V22, X22, V23, W23, X23) + 1)))</f>
        <v>999</v>
      </c>
      <c r="X22">
        <f>IF(Sheet1!$AG$1=1, IF(AND(COLUMN()-1=Sheet1!$AF$4, 32-ROW()=Sheet1!$AG$4), 0, 999), IF(COUNTIFS(Sheet1!$AK$1:$AK$50, COLUMN()-1, Sheet1!$AL$1:$AL$50, 32-ROW())&gt;0, 999, IF(AND(COLUMN()-1=Sheet1!$AF$4, 32-ROW()=Sheet1!$AG$4), 0, MIN(W21, X21, Y21, W22, Y22, W23, X23, Y23) + 1)))</f>
        <v>999</v>
      </c>
      <c r="Y22">
        <f>IF(Sheet1!$AG$1=1, IF(AND(COLUMN()-1=Sheet1!$AF$4, 32-ROW()=Sheet1!$AG$4), 0, 999), IF(COUNTIFS(Sheet1!$AK$1:$AK$50, COLUMN()-1, Sheet1!$AL$1:$AL$50, 32-ROW())&gt;0, 999, IF(AND(COLUMN()-1=Sheet1!$AF$4, 32-ROW()=Sheet1!$AG$4), 0, MIN(X21, Y21, Z21, X22, Z22, X23, Y23, Z23) + 1)))</f>
        <v>999</v>
      </c>
      <c r="Z22">
        <f>IF(Sheet1!$AG$1=1, IF(AND(COLUMN()-1=Sheet1!$AF$4, 32-ROW()=Sheet1!$AG$4), 0, 999), IF(COUNTIFS(Sheet1!$AK$1:$AK$50, COLUMN()-1, Sheet1!$AL$1:$AL$50, 32-ROW())&gt;0, 999, IF(AND(COLUMN()-1=Sheet1!$AF$4, 32-ROW()=Sheet1!$AG$4), 0, MIN(Y21, Z21, AA21, Y22, AA22, Y23, Z23, AA23) + 1)))</f>
        <v>999</v>
      </c>
      <c r="AA22">
        <f>IF(Sheet1!$AG$1=1, IF(AND(COLUMN()-1=Sheet1!$AF$4, 32-ROW()=Sheet1!$AG$4), 0, 999), IF(COUNTIFS(Sheet1!$AK$1:$AK$50, COLUMN()-1, Sheet1!$AL$1:$AL$50, 32-ROW())&gt;0, 999, IF(AND(COLUMN()-1=Sheet1!$AF$4, 32-ROW()=Sheet1!$AG$4), 0, MIN(Z21, AA21, AB21, Z22, AB22, Z23, AA23, AB23) + 1)))</f>
        <v>999</v>
      </c>
      <c r="AB22">
        <f>IF(Sheet1!$AG$1=1, IF(AND(COLUMN()-1=Sheet1!$AF$4, 32-ROW()=Sheet1!$AG$4), 0, 999), IF(COUNTIFS(Sheet1!$AK$1:$AK$50, COLUMN()-1, Sheet1!$AL$1:$AL$50, 32-ROW())&gt;0, 999, IF(AND(COLUMN()-1=Sheet1!$AF$4, 32-ROW()=Sheet1!$AG$4), 0, MIN(AA21, AB21, AC21, AA22, AC22, AA23, AB23, AC23) + 1)))</f>
        <v>999</v>
      </c>
      <c r="AC22">
        <f>IF(Sheet1!$AG$1=1, IF(AND(COLUMN()-1=Sheet1!$AF$4, 32-ROW()=Sheet1!$AG$4), 0, 999), IF(COUNTIFS(Sheet1!$AK$1:$AK$50, COLUMN()-1, Sheet1!$AL$1:$AL$50, 32-ROW())&gt;0, 999, IF(AND(COLUMN()-1=Sheet1!$AF$4, 32-ROW()=Sheet1!$AG$4), 0, MIN(AB21, AC21, AD21, AB22, AD22, AB23, AC23, AD23) + 1)))</f>
        <v>999</v>
      </c>
      <c r="AD22">
        <f>IF(Sheet1!$AG$1=1, IF(AND(COLUMN()-1=Sheet1!$AF$4, 32-ROW()=Sheet1!$AG$4), 0, 999), IF(COUNTIFS(Sheet1!$AK$1:$AK$50, COLUMN()-1, Sheet1!$AL$1:$AL$50, 32-ROW())&gt;0, 999, IF(AND(COLUMN()-1=Sheet1!$AF$4, 32-ROW()=Sheet1!$AG$4), 0, MIN(AC21, AD21, AE21, AC22, AE22, AC23, AD23, AE23) + 1)))</f>
        <v>999</v>
      </c>
      <c r="AE22">
        <f>IF(Sheet1!$AG$1=1, IF(AND(COLUMN()-1=Sheet1!$AF$4, 32-ROW()=Sheet1!$AG$4), 0, 999), IF(COUNTIFS(Sheet1!$AK$1:$AK$50, COLUMN()-1, Sheet1!$AL$1:$AL$50, 32-ROW())&gt;0, 999, IF(AND(COLUMN()-1=Sheet1!$AF$4, 32-ROW()=Sheet1!$AG$4), 0, MIN(AD21, AE21, AF21, AD22, AF22, AD23, AE23, AF23) + 1)))</f>
        <v>999</v>
      </c>
      <c r="AF22">
        <v>999</v>
      </c>
    </row>
    <row r="23" spans="1:32">
      <c r="A23">
        <v>999</v>
      </c>
      <c r="B23">
        <f>IF(Sheet1!$AG$1=1, IF(AND(COLUMN()-1=Sheet1!$AF$4, 32-ROW()=Sheet1!$AG$4), 0, 999), IF(COUNTIFS(Sheet1!$AK$1:$AK$50, COLUMN()-1, Sheet1!$AL$1:$AL$50, 32-ROW())&gt;0, 999, IF(AND(COLUMN()-1=Sheet1!$AF$4, 32-ROW()=Sheet1!$AG$4), 0, MIN(A22, B22, C22, A23, C23, A24, B24, C24) + 1)))</f>
        <v>999</v>
      </c>
      <c r="C23">
        <f>IF(Sheet1!$AG$1=1, IF(AND(COLUMN()-1=Sheet1!$AF$4, 32-ROW()=Sheet1!$AG$4), 0, 999), IF(COUNTIFS(Sheet1!$AK$1:$AK$50, COLUMN()-1, Sheet1!$AL$1:$AL$50, 32-ROW())&gt;0, 999, IF(AND(COLUMN()-1=Sheet1!$AF$4, 32-ROW()=Sheet1!$AG$4), 0, MIN(B22, C22, D22, B23, D23, B24, C24, D24) + 1)))</f>
        <v>999</v>
      </c>
      <c r="D23">
        <f>IF(Sheet1!$AG$1=1, IF(AND(COLUMN()-1=Sheet1!$AF$4, 32-ROW()=Sheet1!$AG$4), 0, 999), IF(COUNTIFS(Sheet1!$AK$1:$AK$50, COLUMN()-1, Sheet1!$AL$1:$AL$50, 32-ROW())&gt;0, 999, IF(AND(COLUMN()-1=Sheet1!$AF$4, 32-ROW()=Sheet1!$AG$4), 0, MIN(C22, D22, E22, C23, E23, C24, D24, E24) + 1)))</f>
        <v>999</v>
      </c>
      <c r="E23">
        <f>IF(Sheet1!$AG$1=1, IF(AND(COLUMN()-1=Sheet1!$AF$4, 32-ROW()=Sheet1!$AG$4), 0, 999), IF(COUNTIFS(Sheet1!$AK$1:$AK$50, COLUMN()-1, Sheet1!$AL$1:$AL$50, 32-ROW())&gt;0, 999, IF(AND(COLUMN()-1=Sheet1!$AF$4, 32-ROW()=Sheet1!$AG$4), 0, MIN(D22, E22, F22, D23, F23, D24, E24, F24) + 1)))</f>
        <v>999</v>
      </c>
      <c r="F23">
        <f>IF(Sheet1!$AG$1=1, IF(AND(COLUMN()-1=Sheet1!$AF$4, 32-ROW()=Sheet1!$AG$4), 0, 999), IF(COUNTIFS(Sheet1!$AK$1:$AK$50, COLUMN()-1, Sheet1!$AL$1:$AL$50, 32-ROW())&gt;0, 999, IF(AND(COLUMN()-1=Sheet1!$AF$4, 32-ROW()=Sheet1!$AG$4), 0, MIN(E22, F22, G22, E23, G23, E24, F24, G24) + 1)))</f>
        <v>999</v>
      </c>
      <c r="G23">
        <f>IF(Sheet1!$AG$1=1, IF(AND(COLUMN()-1=Sheet1!$AF$4, 32-ROW()=Sheet1!$AG$4), 0, 999), IF(COUNTIFS(Sheet1!$AK$1:$AK$50, COLUMN()-1, Sheet1!$AL$1:$AL$50, 32-ROW())&gt;0, 999, IF(AND(COLUMN()-1=Sheet1!$AF$4, 32-ROW()=Sheet1!$AG$4), 0, MIN(F22, G22, H22, F23, H23, F24, G24, H24) + 1)))</f>
        <v>999</v>
      </c>
      <c r="H23">
        <f>IF(Sheet1!$AG$1=1, IF(AND(COLUMN()-1=Sheet1!$AF$4, 32-ROW()=Sheet1!$AG$4), 0, 999), IF(COUNTIFS(Sheet1!$AK$1:$AK$50, COLUMN()-1, Sheet1!$AL$1:$AL$50, 32-ROW())&gt;0, 999, IF(AND(COLUMN()-1=Sheet1!$AF$4, 32-ROW()=Sheet1!$AG$4), 0, MIN(G22, H22, I22, G23, I23, G24, H24, I24) + 1)))</f>
        <v>999</v>
      </c>
      <c r="I23">
        <f>IF(Sheet1!$AG$1=1, IF(AND(COLUMN()-1=Sheet1!$AF$4, 32-ROW()=Sheet1!$AG$4), 0, 999), IF(COUNTIFS(Sheet1!$AK$1:$AK$50, COLUMN()-1, Sheet1!$AL$1:$AL$50, 32-ROW())&gt;0, 999, IF(AND(COLUMN()-1=Sheet1!$AF$4, 32-ROW()=Sheet1!$AG$4), 0, MIN(H22, I22, J22, H23, J23, H24, I24, J24) + 1)))</f>
        <v>999</v>
      </c>
      <c r="J23">
        <f>IF(Sheet1!$AG$1=1, IF(AND(COLUMN()-1=Sheet1!$AF$4, 32-ROW()=Sheet1!$AG$4), 0, 999), IF(COUNTIFS(Sheet1!$AK$1:$AK$50, COLUMN()-1, Sheet1!$AL$1:$AL$50, 32-ROW())&gt;0, 999, IF(AND(COLUMN()-1=Sheet1!$AF$4, 32-ROW()=Sheet1!$AG$4), 0, MIN(I22, J22, K22, I23, K23, I24, J24, K24) + 1)))</f>
        <v>999</v>
      </c>
      <c r="K23">
        <f>IF(Sheet1!$AG$1=1, IF(AND(COLUMN()-1=Sheet1!$AF$4, 32-ROW()=Sheet1!$AG$4), 0, 999), IF(COUNTIFS(Sheet1!$AK$1:$AK$50, COLUMN()-1, Sheet1!$AL$1:$AL$50, 32-ROW())&gt;0, 999, IF(AND(COLUMN()-1=Sheet1!$AF$4, 32-ROW()=Sheet1!$AG$4), 0, MIN(J22, K22, L22, J23, L23, J24, K24, L24) + 1)))</f>
        <v>999</v>
      </c>
      <c r="L23">
        <f>IF(Sheet1!$AG$1=1, IF(AND(COLUMN()-1=Sheet1!$AF$4, 32-ROW()=Sheet1!$AG$4), 0, 999), IF(COUNTIFS(Sheet1!$AK$1:$AK$50, COLUMN()-1, Sheet1!$AL$1:$AL$50, 32-ROW())&gt;0, 999, IF(AND(COLUMN()-1=Sheet1!$AF$4, 32-ROW()=Sheet1!$AG$4), 0, MIN(K22, L22, M22, K23, M23, K24, L24, M24) + 1)))</f>
        <v>999</v>
      </c>
      <c r="M23">
        <f>IF(Sheet1!$AG$1=1, IF(AND(COLUMN()-1=Sheet1!$AF$4, 32-ROW()=Sheet1!$AG$4), 0, 999), IF(COUNTIFS(Sheet1!$AK$1:$AK$50, COLUMN()-1, Sheet1!$AL$1:$AL$50, 32-ROW())&gt;0, 999, IF(AND(COLUMN()-1=Sheet1!$AF$4, 32-ROW()=Sheet1!$AG$4), 0, MIN(L22, M22, N22, L23, N23, L24, M24, N24) + 1)))</f>
        <v>999</v>
      </c>
      <c r="N23">
        <f>IF(Sheet1!$AG$1=1, IF(AND(COLUMN()-1=Sheet1!$AF$4, 32-ROW()=Sheet1!$AG$4), 0, 999), IF(COUNTIFS(Sheet1!$AK$1:$AK$50, COLUMN()-1, Sheet1!$AL$1:$AL$50, 32-ROW())&gt;0, 999, IF(AND(COLUMN()-1=Sheet1!$AF$4, 32-ROW()=Sheet1!$AG$4), 0, MIN(M22, N22, O22, M23, O23, M24, N24, O24) + 1)))</f>
        <v>999</v>
      </c>
      <c r="O23">
        <f>IF(Sheet1!$AG$1=1, IF(AND(COLUMN()-1=Sheet1!$AF$4, 32-ROW()=Sheet1!$AG$4), 0, 999), IF(COUNTIFS(Sheet1!$AK$1:$AK$50, COLUMN()-1, Sheet1!$AL$1:$AL$50, 32-ROW())&gt;0, 999, IF(AND(COLUMN()-1=Sheet1!$AF$4, 32-ROW()=Sheet1!$AG$4), 0, MIN(N22, O22, P22, N23, P23, N24, O24, P24) + 1)))</f>
        <v>999</v>
      </c>
      <c r="P23">
        <f>IF(Sheet1!$AG$1=1, IF(AND(COLUMN()-1=Sheet1!$AF$4, 32-ROW()=Sheet1!$AG$4), 0, 999), IF(COUNTIFS(Sheet1!$AK$1:$AK$50, COLUMN()-1, Sheet1!$AL$1:$AL$50, 32-ROW())&gt;0, 999, IF(AND(COLUMN()-1=Sheet1!$AF$4, 32-ROW()=Sheet1!$AG$4), 0, MIN(O22, P22, Q22, O23, Q23, O24, P24, Q24) + 1)))</f>
        <v>999</v>
      </c>
      <c r="Q23">
        <f>IF(Sheet1!$AG$1=1, IF(AND(COLUMN()-1=Sheet1!$AF$4, 32-ROW()=Sheet1!$AG$4), 0, 999), IF(COUNTIFS(Sheet1!$AK$1:$AK$50, COLUMN()-1, Sheet1!$AL$1:$AL$50, 32-ROW())&gt;0, 999, IF(AND(COLUMN()-1=Sheet1!$AF$4, 32-ROW()=Sheet1!$AG$4), 0, MIN(P22, Q22, R22, P23, R23, P24, Q24, R24) + 1)))</f>
        <v>999</v>
      </c>
      <c r="R23">
        <f>IF(Sheet1!$AG$1=1, IF(AND(COLUMN()-1=Sheet1!$AF$4, 32-ROW()=Sheet1!$AG$4), 0, 999), IF(COUNTIFS(Sheet1!$AK$1:$AK$50, COLUMN()-1, Sheet1!$AL$1:$AL$50, 32-ROW())&gt;0, 999, IF(AND(COLUMN()-1=Sheet1!$AF$4, 32-ROW()=Sheet1!$AG$4), 0, MIN(Q22, R22, S22, Q23, S23, Q24, R24, S24) + 1)))</f>
        <v>999</v>
      </c>
      <c r="S23">
        <f>IF(Sheet1!$AG$1=1, IF(AND(COLUMN()-1=Sheet1!$AF$4, 32-ROW()=Sheet1!$AG$4), 0, 999), IF(COUNTIFS(Sheet1!$AK$1:$AK$50, COLUMN()-1, Sheet1!$AL$1:$AL$50, 32-ROW())&gt;0, 999, IF(AND(COLUMN()-1=Sheet1!$AF$4, 32-ROW()=Sheet1!$AG$4), 0, MIN(R22, S22, T22, R23, T23, R24, S24, T24) + 1)))</f>
        <v>999</v>
      </c>
      <c r="T23">
        <f>IF(Sheet1!$AG$1=1, IF(AND(COLUMN()-1=Sheet1!$AF$4, 32-ROW()=Sheet1!$AG$4), 0, 999), IF(COUNTIFS(Sheet1!$AK$1:$AK$50, COLUMN()-1, Sheet1!$AL$1:$AL$50, 32-ROW())&gt;0, 999, IF(AND(COLUMN()-1=Sheet1!$AF$4, 32-ROW()=Sheet1!$AG$4), 0, MIN(S22, T22, U22, S23, U23, S24, T24, U24) + 1)))</f>
        <v>999</v>
      </c>
      <c r="U23">
        <f>IF(Sheet1!$AG$1=1, IF(AND(COLUMN()-1=Sheet1!$AF$4, 32-ROW()=Sheet1!$AG$4), 0, 999), IF(COUNTIFS(Sheet1!$AK$1:$AK$50, COLUMN()-1, Sheet1!$AL$1:$AL$50, 32-ROW())&gt;0, 999, IF(AND(COLUMN()-1=Sheet1!$AF$4, 32-ROW()=Sheet1!$AG$4), 0, MIN(T22, U22, V22, T23, V23, T24, U24, V24) + 1)))</f>
        <v>999</v>
      </c>
      <c r="V23">
        <f>IF(Sheet1!$AG$1=1, IF(AND(COLUMN()-1=Sheet1!$AF$4, 32-ROW()=Sheet1!$AG$4), 0, 999), IF(COUNTIFS(Sheet1!$AK$1:$AK$50, COLUMN()-1, Sheet1!$AL$1:$AL$50, 32-ROW())&gt;0, 999, IF(AND(COLUMN()-1=Sheet1!$AF$4, 32-ROW()=Sheet1!$AG$4), 0, MIN(U22, V22, W22, U23, W23, U24, V24, W24) + 1)))</f>
        <v>999</v>
      </c>
      <c r="W23">
        <f>IF(Sheet1!$AG$1=1, IF(AND(COLUMN()-1=Sheet1!$AF$4, 32-ROW()=Sheet1!$AG$4), 0, 999), IF(COUNTIFS(Sheet1!$AK$1:$AK$50, COLUMN()-1, Sheet1!$AL$1:$AL$50, 32-ROW())&gt;0, 999, IF(AND(COLUMN()-1=Sheet1!$AF$4, 32-ROW()=Sheet1!$AG$4), 0, MIN(V22, W22, X22, V23, X23, V24, W24, X24) + 1)))</f>
        <v>999</v>
      </c>
      <c r="X23">
        <f>IF(Sheet1!$AG$1=1, IF(AND(COLUMN()-1=Sheet1!$AF$4, 32-ROW()=Sheet1!$AG$4), 0, 999), IF(COUNTIFS(Sheet1!$AK$1:$AK$50, COLUMN()-1, Sheet1!$AL$1:$AL$50, 32-ROW())&gt;0, 999, IF(AND(COLUMN()-1=Sheet1!$AF$4, 32-ROW()=Sheet1!$AG$4), 0, MIN(W22, X22, Y22, W23, Y23, W24, X24, Y24) + 1)))</f>
        <v>999</v>
      </c>
      <c r="Y23">
        <f>IF(Sheet1!$AG$1=1, IF(AND(COLUMN()-1=Sheet1!$AF$4, 32-ROW()=Sheet1!$AG$4), 0, 999), IF(COUNTIFS(Sheet1!$AK$1:$AK$50, COLUMN()-1, Sheet1!$AL$1:$AL$50, 32-ROW())&gt;0, 999, IF(AND(COLUMN()-1=Sheet1!$AF$4, 32-ROW()=Sheet1!$AG$4), 0, MIN(X22, Y22, Z22, X23, Z23, X24, Y24, Z24) + 1)))</f>
        <v>999</v>
      </c>
      <c r="Z23">
        <f>IF(Sheet1!$AG$1=1, IF(AND(COLUMN()-1=Sheet1!$AF$4, 32-ROW()=Sheet1!$AG$4), 0, 999), IF(COUNTIFS(Sheet1!$AK$1:$AK$50, COLUMN()-1, Sheet1!$AL$1:$AL$50, 32-ROW())&gt;0, 999, IF(AND(COLUMN()-1=Sheet1!$AF$4, 32-ROW()=Sheet1!$AG$4), 0, MIN(Y22, Z22, AA22, Y23, AA23, Y24, Z24, AA24) + 1)))</f>
        <v>999</v>
      </c>
      <c r="AA23">
        <f>IF(Sheet1!$AG$1=1, IF(AND(COLUMN()-1=Sheet1!$AF$4, 32-ROW()=Sheet1!$AG$4), 0, 999), IF(COUNTIFS(Sheet1!$AK$1:$AK$50, COLUMN()-1, Sheet1!$AL$1:$AL$50, 32-ROW())&gt;0, 999, IF(AND(COLUMN()-1=Sheet1!$AF$4, 32-ROW()=Sheet1!$AG$4), 0, MIN(Z22, AA22, AB22, Z23, AB23, Z24, AA24, AB24) + 1)))</f>
        <v>999</v>
      </c>
      <c r="AB23">
        <f>IF(Sheet1!$AG$1=1, IF(AND(COLUMN()-1=Sheet1!$AF$4, 32-ROW()=Sheet1!$AG$4), 0, 999), IF(COUNTIFS(Sheet1!$AK$1:$AK$50, COLUMN()-1, Sheet1!$AL$1:$AL$50, 32-ROW())&gt;0, 999, IF(AND(COLUMN()-1=Sheet1!$AF$4, 32-ROW()=Sheet1!$AG$4), 0, MIN(AA22, AB22, AC22, AA23, AC23, AA24, AB24, AC24) + 1)))</f>
        <v>999</v>
      </c>
      <c r="AC23">
        <f>IF(Sheet1!$AG$1=1, IF(AND(COLUMN()-1=Sheet1!$AF$4, 32-ROW()=Sheet1!$AG$4), 0, 999), IF(COUNTIFS(Sheet1!$AK$1:$AK$50, COLUMN()-1, Sheet1!$AL$1:$AL$50, 32-ROW())&gt;0, 999, IF(AND(COLUMN()-1=Sheet1!$AF$4, 32-ROW()=Sheet1!$AG$4), 0, MIN(AB22, AC22, AD22, AB23, AD23, AB24, AC24, AD24) + 1)))</f>
        <v>999</v>
      </c>
      <c r="AD23">
        <f>IF(Sheet1!$AG$1=1, IF(AND(COLUMN()-1=Sheet1!$AF$4, 32-ROW()=Sheet1!$AG$4), 0, 999), IF(COUNTIFS(Sheet1!$AK$1:$AK$50, COLUMN()-1, Sheet1!$AL$1:$AL$50, 32-ROW())&gt;0, 999, IF(AND(COLUMN()-1=Sheet1!$AF$4, 32-ROW()=Sheet1!$AG$4), 0, MIN(AC22, AD22, AE22, AC23, AE23, AC24, AD24, AE24) + 1)))</f>
        <v>999</v>
      </c>
      <c r="AE23">
        <f>IF(Sheet1!$AG$1=1, IF(AND(COLUMN()-1=Sheet1!$AF$4, 32-ROW()=Sheet1!$AG$4), 0, 999), IF(COUNTIFS(Sheet1!$AK$1:$AK$50, COLUMN()-1, Sheet1!$AL$1:$AL$50, 32-ROW())&gt;0, 999, IF(AND(COLUMN()-1=Sheet1!$AF$4, 32-ROW()=Sheet1!$AG$4), 0, MIN(AD22, AE22, AF22, AD23, AF23, AD24, AE24, AF24) + 1)))</f>
        <v>999</v>
      </c>
      <c r="AF23">
        <v>999</v>
      </c>
    </row>
    <row r="24" spans="1:32">
      <c r="A24">
        <v>999</v>
      </c>
      <c r="B24">
        <f>IF(Sheet1!$AG$1=1, IF(AND(COLUMN()-1=Sheet1!$AF$4, 32-ROW()=Sheet1!$AG$4), 0, 999), IF(COUNTIFS(Sheet1!$AK$1:$AK$50, COLUMN()-1, Sheet1!$AL$1:$AL$50, 32-ROW())&gt;0, 999, IF(AND(COLUMN()-1=Sheet1!$AF$4, 32-ROW()=Sheet1!$AG$4), 0, MIN(A23, B23, C23, A24, C24, A25, B25, C25) + 1)))</f>
        <v>999</v>
      </c>
      <c r="C24">
        <f>IF(Sheet1!$AG$1=1, IF(AND(COLUMN()-1=Sheet1!$AF$4, 32-ROW()=Sheet1!$AG$4), 0, 999), IF(COUNTIFS(Sheet1!$AK$1:$AK$50, COLUMN()-1, Sheet1!$AL$1:$AL$50, 32-ROW())&gt;0, 999, IF(AND(COLUMN()-1=Sheet1!$AF$4, 32-ROW()=Sheet1!$AG$4), 0, MIN(B23, C23, D23, B24, D24, B25, C25, D25) + 1)))</f>
        <v>999</v>
      </c>
      <c r="D24">
        <f>IF(Sheet1!$AG$1=1, IF(AND(COLUMN()-1=Sheet1!$AF$4, 32-ROW()=Sheet1!$AG$4), 0, 999), IF(COUNTIFS(Sheet1!$AK$1:$AK$50, COLUMN()-1, Sheet1!$AL$1:$AL$50, 32-ROW())&gt;0, 999, IF(AND(COLUMN()-1=Sheet1!$AF$4, 32-ROW()=Sheet1!$AG$4), 0, MIN(C23, D23, E23, C24, E24, C25, D25, E25) + 1)))</f>
        <v>999</v>
      </c>
      <c r="E24">
        <f>IF(Sheet1!$AG$1=1, IF(AND(COLUMN()-1=Sheet1!$AF$4, 32-ROW()=Sheet1!$AG$4), 0, 999), IF(COUNTIFS(Sheet1!$AK$1:$AK$50, COLUMN()-1, Sheet1!$AL$1:$AL$50, 32-ROW())&gt;0, 999, IF(AND(COLUMN()-1=Sheet1!$AF$4, 32-ROW()=Sheet1!$AG$4), 0, MIN(D23, E23, F23, D24, F24, D25, E25, F25) + 1)))</f>
        <v>999</v>
      </c>
      <c r="F24">
        <f>IF(Sheet1!$AG$1=1, IF(AND(COLUMN()-1=Sheet1!$AF$4, 32-ROW()=Sheet1!$AG$4), 0, 999), IF(COUNTIFS(Sheet1!$AK$1:$AK$50, COLUMN()-1, Sheet1!$AL$1:$AL$50, 32-ROW())&gt;0, 999, IF(AND(COLUMN()-1=Sheet1!$AF$4, 32-ROW()=Sheet1!$AG$4), 0, MIN(E23, F23, G23, E24, G24, E25, F25, G25) + 1)))</f>
        <v>999</v>
      </c>
      <c r="G24">
        <f>IF(Sheet1!$AG$1=1, IF(AND(COLUMN()-1=Sheet1!$AF$4, 32-ROW()=Sheet1!$AG$4), 0, 999), IF(COUNTIFS(Sheet1!$AK$1:$AK$50, COLUMN()-1, Sheet1!$AL$1:$AL$50, 32-ROW())&gt;0, 999, IF(AND(COLUMN()-1=Sheet1!$AF$4, 32-ROW()=Sheet1!$AG$4), 0, MIN(F23, G23, H23, F24, H24, F25, G25, H25) + 1)))</f>
        <v>999</v>
      </c>
      <c r="H24">
        <f>IF(Sheet1!$AG$1=1, IF(AND(COLUMN()-1=Sheet1!$AF$4, 32-ROW()=Sheet1!$AG$4), 0, 999), IF(COUNTIFS(Sheet1!$AK$1:$AK$50, COLUMN()-1, Sheet1!$AL$1:$AL$50, 32-ROW())&gt;0, 999, IF(AND(COLUMN()-1=Sheet1!$AF$4, 32-ROW()=Sheet1!$AG$4), 0, MIN(G23, H23, I23, G24, I24, G25, H25, I25) + 1)))</f>
        <v>999</v>
      </c>
      <c r="I24">
        <f>IF(Sheet1!$AG$1=1, IF(AND(COLUMN()-1=Sheet1!$AF$4, 32-ROW()=Sheet1!$AG$4), 0, 999), IF(COUNTIFS(Sheet1!$AK$1:$AK$50, COLUMN()-1, Sheet1!$AL$1:$AL$50, 32-ROW())&gt;0, 999, IF(AND(COLUMN()-1=Sheet1!$AF$4, 32-ROW()=Sheet1!$AG$4), 0, MIN(H23, I23, J23, H24, J24, H25, I25, J25) + 1)))</f>
        <v>999</v>
      </c>
      <c r="J24">
        <f>IF(Sheet1!$AG$1=1, IF(AND(COLUMN()-1=Sheet1!$AF$4, 32-ROW()=Sheet1!$AG$4), 0, 999), IF(COUNTIFS(Sheet1!$AK$1:$AK$50, COLUMN()-1, Sheet1!$AL$1:$AL$50, 32-ROW())&gt;0, 999, IF(AND(COLUMN()-1=Sheet1!$AF$4, 32-ROW()=Sheet1!$AG$4), 0, MIN(I23, J23, K23, I24, K24, I25, J25, K25) + 1)))</f>
        <v>999</v>
      </c>
      <c r="K24">
        <f>IF(Sheet1!$AG$1=1, IF(AND(COLUMN()-1=Sheet1!$AF$4, 32-ROW()=Sheet1!$AG$4), 0, 999), IF(COUNTIFS(Sheet1!$AK$1:$AK$50, COLUMN()-1, Sheet1!$AL$1:$AL$50, 32-ROW())&gt;0, 999, IF(AND(COLUMN()-1=Sheet1!$AF$4, 32-ROW()=Sheet1!$AG$4), 0, MIN(J23, K23, L23, J24, L24, J25, K25, L25) + 1)))</f>
        <v>999</v>
      </c>
      <c r="L24">
        <f>IF(Sheet1!$AG$1=1, IF(AND(COLUMN()-1=Sheet1!$AF$4, 32-ROW()=Sheet1!$AG$4), 0, 999), IF(COUNTIFS(Sheet1!$AK$1:$AK$50, COLUMN()-1, Sheet1!$AL$1:$AL$50, 32-ROW())&gt;0, 999, IF(AND(COLUMN()-1=Sheet1!$AF$4, 32-ROW()=Sheet1!$AG$4), 0, MIN(K23, L23, M23, K24, M24, K25, L25, M25) + 1)))</f>
        <v>999</v>
      </c>
      <c r="M24">
        <f>IF(Sheet1!$AG$1=1, IF(AND(COLUMN()-1=Sheet1!$AF$4, 32-ROW()=Sheet1!$AG$4), 0, 999), IF(COUNTIFS(Sheet1!$AK$1:$AK$50, COLUMN()-1, Sheet1!$AL$1:$AL$50, 32-ROW())&gt;0, 999, IF(AND(COLUMN()-1=Sheet1!$AF$4, 32-ROW()=Sheet1!$AG$4), 0, MIN(L23, M23, N23, L24, N24, L25, M25, N25) + 1)))</f>
        <v>999</v>
      </c>
      <c r="N24">
        <f>IF(Sheet1!$AG$1=1, IF(AND(COLUMN()-1=Sheet1!$AF$4, 32-ROW()=Sheet1!$AG$4), 0, 999), IF(COUNTIFS(Sheet1!$AK$1:$AK$50, COLUMN()-1, Sheet1!$AL$1:$AL$50, 32-ROW())&gt;0, 999, IF(AND(COLUMN()-1=Sheet1!$AF$4, 32-ROW()=Sheet1!$AG$4), 0, MIN(M23, N23, O23, M24, O24, M25, N25, O25) + 1)))</f>
        <v>999</v>
      </c>
      <c r="O24">
        <f>IF(Sheet1!$AG$1=1, IF(AND(COLUMN()-1=Sheet1!$AF$4, 32-ROW()=Sheet1!$AG$4), 0, 999), IF(COUNTIFS(Sheet1!$AK$1:$AK$50, COLUMN()-1, Sheet1!$AL$1:$AL$50, 32-ROW())&gt;0, 999, IF(AND(COLUMN()-1=Sheet1!$AF$4, 32-ROW()=Sheet1!$AG$4), 0, MIN(N23, O23, P23, N24, P24, N25, O25, P25) + 1)))</f>
        <v>999</v>
      </c>
      <c r="P24">
        <f>IF(Sheet1!$AG$1=1, IF(AND(COLUMN()-1=Sheet1!$AF$4, 32-ROW()=Sheet1!$AG$4), 0, 999), IF(COUNTIFS(Sheet1!$AK$1:$AK$50, COLUMN()-1, Sheet1!$AL$1:$AL$50, 32-ROW())&gt;0, 999, IF(AND(COLUMN()-1=Sheet1!$AF$4, 32-ROW()=Sheet1!$AG$4), 0, MIN(O23, P23, Q23, O24, Q24, O25, P25, Q25) + 1)))</f>
        <v>999</v>
      </c>
      <c r="Q24">
        <f>IF(Sheet1!$AG$1=1, IF(AND(COLUMN()-1=Sheet1!$AF$4, 32-ROW()=Sheet1!$AG$4), 0, 999), IF(COUNTIFS(Sheet1!$AK$1:$AK$50, COLUMN()-1, Sheet1!$AL$1:$AL$50, 32-ROW())&gt;0, 999, IF(AND(COLUMN()-1=Sheet1!$AF$4, 32-ROW()=Sheet1!$AG$4), 0, MIN(P23, Q23, R23, P24, R24, P25, Q25, R25) + 1)))</f>
        <v>999</v>
      </c>
      <c r="R24">
        <f>IF(Sheet1!$AG$1=1, IF(AND(COLUMN()-1=Sheet1!$AF$4, 32-ROW()=Sheet1!$AG$4), 0, 999), IF(COUNTIFS(Sheet1!$AK$1:$AK$50, COLUMN()-1, Sheet1!$AL$1:$AL$50, 32-ROW())&gt;0, 999, IF(AND(COLUMN()-1=Sheet1!$AF$4, 32-ROW()=Sheet1!$AG$4), 0, MIN(Q23, R23, S23, Q24, S24, Q25, R25, S25) + 1)))</f>
        <v>999</v>
      </c>
      <c r="S24">
        <f>IF(Sheet1!$AG$1=1, IF(AND(COLUMN()-1=Sheet1!$AF$4, 32-ROW()=Sheet1!$AG$4), 0, 999), IF(COUNTIFS(Sheet1!$AK$1:$AK$50, COLUMN()-1, Sheet1!$AL$1:$AL$50, 32-ROW())&gt;0, 999, IF(AND(COLUMN()-1=Sheet1!$AF$4, 32-ROW()=Sheet1!$AG$4), 0, MIN(R23, S23, T23, R24, T24, R25, S25, T25) + 1)))</f>
        <v>999</v>
      </c>
      <c r="T24">
        <f>IF(Sheet1!$AG$1=1, IF(AND(COLUMN()-1=Sheet1!$AF$4, 32-ROW()=Sheet1!$AG$4), 0, 999), IF(COUNTIFS(Sheet1!$AK$1:$AK$50, COLUMN()-1, Sheet1!$AL$1:$AL$50, 32-ROW())&gt;0, 999, IF(AND(COLUMN()-1=Sheet1!$AF$4, 32-ROW()=Sheet1!$AG$4), 0, MIN(S23, T23, U23, S24, U24, S25, T25, U25) + 1)))</f>
        <v>999</v>
      </c>
      <c r="U24">
        <f>IF(Sheet1!$AG$1=1, IF(AND(COLUMN()-1=Sheet1!$AF$4, 32-ROW()=Sheet1!$AG$4), 0, 999), IF(COUNTIFS(Sheet1!$AK$1:$AK$50, COLUMN()-1, Sheet1!$AL$1:$AL$50, 32-ROW())&gt;0, 999, IF(AND(COLUMN()-1=Sheet1!$AF$4, 32-ROW()=Sheet1!$AG$4), 0, MIN(T23, U23, V23, T24, V24, T25, U25, V25) + 1)))</f>
        <v>999</v>
      </c>
      <c r="V24">
        <f>IF(Sheet1!$AG$1=1, IF(AND(COLUMN()-1=Sheet1!$AF$4, 32-ROW()=Sheet1!$AG$4), 0, 999), IF(COUNTIFS(Sheet1!$AK$1:$AK$50, COLUMN()-1, Sheet1!$AL$1:$AL$50, 32-ROW())&gt;0, 999, IF(AND(COLUMN()-1=Sheet1!$AF$4, 32-ROW()=Sheet1!$AG$4), 0, MIN(U23, V23, W23, U24, W24, U25, V25, W25) + 1)))</f>
        <v>999</v>
      </c>
      <c r="W24">
        <f>IF(Sheet1!$AG$1=1, IF(AND(COLUMN()-1=Sheet1!$AF$4, 32-ROW()=Sheet1!$AG$4), 0, 999), IF(COUNTIFS(Sheet1!$AK$1:$AK$50, COLUMN()-1, Sheet1!$AL$1:$AL$50, 32-ROW())&gt;0, 999, IF(AND(COLUMN()-1=Sheet1!$AF$4, 32-ROW()=Sheet1!$AG$4), 0, MIN(V23, W23, X23, V24, X24, V25, W25, X25) + 1)))</f>
        <v>999</v>
      </c>
      <c r="X24">
        <f>IF(Sheet1!$AG$1=1, IF(AND(COLUMN()-1=Sheet1!$AF$4, 32-ROW()=Sheet1!$AG$4), 0, 999), IF(COUNTIFS(Sheet1!$AK$1:$AK$50, COLUMN()-1, Sheet1!$AL$1:$AL$50, 32-ROW())&gt;0, 999, IF(AND(COLUMN()-1=Sheet1!$AF$4, 32-ROW()=Sheet1!$AG$4), 0, MIN(W23, X23, Y23, W24, Y24, W25, X25, Y25) + 1)))</f>
        <v>999</v>
      </c>
      <c r="Y24">
        <f>IF(Sheet1!$AG$1=1, IF(AND(COLUMN()-1=Sheet1!$AF$4, 32-ROW()=Sheet1!$AG$4), 0, 999), IF(COUNTIFS(Sheet1!$AK$1:$AK$50, COLUMN()-1, Sheet1!$AL$1:$AL$50, 32-ROW())&gt;0, 999, IF(AND(COLUMN()-1=Sheet1!$AF$4, 32-ROW()=Sheet1!$AG$4), 0, MIN(X23, Y23, Z23, X24, Z24, X25, Y25, Z25) + 1)))</f>
        <v>999</v>
      </c>
      <c r="Z24">
        <f>IF(Sheet1!$AG$1=1, IF(AND(COLUMN()-1=Sheet1!$AF$4, 32-ROW()=Sheet1!$AG$4), 0, 999), IF(COUNTIFS(Sheet1!$AK$1:$AK$50, COLUMN()-1, Sheet1!$AL$1:$AL$50, 32-ROW())&gt;0, 999, IF(AND(COLUMN()-1=Sheet1!$AF$4, 32-ROW()=Sheet1!$AG$4), 0, MIN(Y23, Z23, AA23, Y24, AA24, Y25, Z25, AA25) + 1)))</f>
        <v>999</v>
      </c>
      <c r="AA24">
        <f>IF(Sheet1!$AG$1=1, IF(AND(COLUMN()-1=Sheet1!$AF$4, 32-ROW()=Sheet1!$AG$4), 0, 999), IF(COUNTIFS(Sheet1!$AK$1:$AK$50, COLUMN()-1, Sheet1!$AL$1:$AL$50, 32-ROW())&gt;0, 999, IF(AND(COLUMN()-1=Sheet1!$AF$4, 32-ROW()=Sheet1!$AG$4), 0, MIN(Z23, AA23, AB23, Z24, AB24, Z25, AA25, AB25) + 1)))</f>
        <v>999</v>
      </c>
      <c r="AB24">
        <f>IF(Sheet1!$AG$1=1, IF(AND(COLUMN()-1=Sheet1!$AF$4, 32-ROW()=Sheet1!$AG$4), 0, 999), IF(COUNTIFS(Sheet1!$AK$1:$AK$50, COLUMN()-1, Sheet1!$AL$1:$AL$50, 32-ROW())&gt;0, 999, IF(AND(COLUMN()-1=Sheet1!$AF$4, 32-ROW()=Sheet1!$AG$4), 0, MIN(AA23, AB23, AC23, AA24, AC24, AA25, AB25, AC25) + 1)))</f>
        <v>999</v>
      </c>
      <c r="AC24">
        <f>IF(Sheet1!$AG$1=1, IF(AND(COLUMN()-1=Sheet1!$AF$4, 32-ROW()=Sheet1!$AG$4), 0, 999), IF(COUNTIFS(Sheet1!$AK$1:$AK$50, COLUMN()-1, Sheet1!$AL$1:$AL$50, 32-ROW())&gt;0, 999, IF(AND(COLUMN()-1=Sheet1!$AF$4, 32-ROW()=Sheet1!$AG$4), 0, MIN(AB23, AC23, AD23, AB24, AD24, AB25, AC25, AD25) + 1)))</f>
        <v>999</v>
      </c>
      <c r="AD24">
        <f>IF(Sheet1!$AG$1=1, IF(AND(COLUMN()-1=Sheet1!$AF$4, 32-ROW()=Sheet1!$AG$4), 0, 999), IF(COUNTIFS(Sheet1!$AK$1:$AK$50, COLUMN()-1, Sheet1!$AL$1:$AL$50, 32-ROW())&gt;0, 999, IF(AND(COLUMN()-1=Sheet1!$AF$4, 32-ROW()=Sheet1!$AG$4), 0, MIN(AC23, AD23, AE23, AC24, AE24, AC25, AD25, AE25) + 1)))</f>
        <v>999</v>
      </c>
      <c r="AE24">
        <f>IF(Sheet1!$AG$1=1, IF(AND(COLUMN()-1=Sheet1!$AF$4, 32-ROW()=Sheet1!$AG$4), 0, 999), IF(COUNTIFS(Sheet1!$AK$1:$AK$50, COLUMN()-1, Sheet1!$AL$1:$AL$50, 32-ROW())&gt;0, 999, IF(AND(COLUMN()-1=Sheet1!$AF$4, 32-ROW()=Sheet1!$AG$4), 0, MIN(AD23, AE23, AF23, AD24, AF24, AD25, AE25, AF25) + 1)))</f>
        <v>999</v>
      </c>
      <c r="AF24">
        <v>999</v>
      </c>
    </row>
    <row r="25" spans="1:32">
      <c r="A25">
        <v>999</v>
      </c>
      <c r="B25">
        <f>IF(Sheet1!$AG$1=1, IF(AND(COLUMN()-1=Sheet1!$AF$4, 32-ROW()=Sheet1!$AG$4), 0, 999), IF(COUNTIFS(Sheet1!$AK$1:$AK$50, COLUMN()-1, Sheet1!$AL$1:$AL$50, 32-ROW())&gt;0, 999, IF(AND(COLUMN()-1=Sheet1!$AF$4, 32-ROW()=Sheet1!$AG$4), 0, MIN(A24, B24, C24, A25, C25, A26, B26, C26) + 1)))</f>
        <v>999</v>
      </c>
      <c r="C25">
        <f>IF(Sheet1!$AG$1=1, IF(AND(COLUMN()-1=Sheet1!$AF$4, 32-ROW()=Sheet1!$AG$4), 0, 999), IF(COUNTIFS(Sheet1!$AK$1:$AK$50, COLUMN()-1, Sheet1!$AL$1:$AL$50, 32-ROW())&gt;0, 999, IF(AND(COLUMN()-1=Sheet1!$AF$4, 32-ROW()=Sheet1!$AG$4), 0, MIN(B24, C24, D24, B25, D25, B26, C26, D26) + 1)))</f>
        <v>999</v>
      </c>
      <c r="D25">
        <f>IF(Sheet1!$AG$1=1, IF(AND(COLUMN()-1=Sheet1!$AF$4, 32-ROW()=Sheet1!$AG$4), 0, 999), IF(COUNTIFS(Sheet1!$AK$1:$AK$50, COLUMN()-1, Sheet1!$AL$1:$AL$50, 32-ROW())&gt;0, 999, IF(AND(COLUMN()-1=Sheet1!$AF$4, 32-ROW()=Sheet1!$AG$4), 0, MIN(C24, D24, E24, C25, E25, C26, D26, E26) + 1)))</f>
        <v>999</v>
      </c>
      <c r="E25">
        <f>IF(Sheet1!$AG$1=1, IF(AND(COLUMN()-1=Sheet1!$AF$4, 32-ROW()=Sheet1!$AG$4), 0, 999), IF(COUNTIFS(Sheet1!$AK$1:$AK$50, COLUMN()-1, Sheet1!$AL$1:$AL$50, 32-ROW())&gt;0, 999, IF(AND(COLUMN()-1=Sheet1!$AF$4, 32-ROW()=Sheet1!$AG$4), 0, MIN(D24, E24, F24, D25, F25, D26, E26, F26) + 1)))</f>
        <v>999</v>
      </c>
      <c r="F25">
        <f>IF(Sheet1!$AG$1=1, IF(AND(COLUMN()-1=Sheet1!$AF$4, 32-ROW()=Sheet1!$AG$4), 0, 999), IF(COUNTIFS(Sheet1!$AK$1:$AK$50, COLUMN()-1, Sheet1!$AL$1:$AL$50, 32-ROW())&gt;0, 999, IF(AND(COLUMN()-1=Sheet1!$AF$4, 32-ROW()=Sheet1!$AG$4), 0, MIN(E24, F24, G24, E25, G25, E26, F26, G26) + 1)))</f>
        <v>999</v>
      </c>
      <c r="G25">
        <f>IF(Sheet1!$AG$1=1, IF(AND(COLUMN()-1=Sheet1!$AF$4, 32-ROW()=Sheet1!$AG$4), 0, 999), IF(COUNTIFS(Sheet1!$AK$1:$AK$50, COLUMN()-1, Sheet1!$AL$1:$AL$50, 32-ROW())&gt;0, 999, IF(AND(COLUMN()-1=Sheet1!$AF$4, 32-ROW()=Sheet1!$AG$4), 0, MIN(F24, G24, H24, F25, H25, F26, G26, H26) + 1)))</f>
        <v>999</v>
      </c>
      <c r="H25">
        <f>IF(Sheet1!$AG$1=1, IF(AND(COLUMN()-1=Sheet1!$AF$4, 32-ROW()=Sheet1!$AG$4), 0, 999), IF(COUNTIFS(Sheet1!$AK$1:$AK$50, COLUMN()-1, Sheet1!$AL$1:$AL$50, 32-ROW())&gt;0, 999, IF(AND(COLUMN()-1=Sheet1!$AF$4, 32-ROW()=Sheet1!$AG$4), 0, MIN(G24, H24, I24, G25, I25, G26, H26, I26) + 1)))</f>
        <v>999</v>
      </c>
      <c r="I25">
        <f>IF(Sheet1!$AG$1=1, IF(AND(COLUMN()-1=Sheet1!$AF$4, 32-ROW()=Sheet1!$AG$4), 0, 999), IF(COUNTIFS(Sheet1!$AK$1:$AK$50, COLUMN()-1, Sheet1!$AL$1:$AL$50, 32-ROW())&gt;0, 999, IF(AND(COLUMN()-1=Sheet1!$AF$4, 32-ROW()=Sheet1!$AG$4), 0, MIN(H24, I24, J24, H25, J25, H26, I26, J26) + 1)))</f>
        <v>999</v>
      </c>
      <c r="J25">
        <f>IF(Sheet1!$AG$1=1, IF(AND(COLUMN()-1=Sheet1!$AF$4, 32-ROW()=Sheet1!$AG$4), 0, 999), IF(COUNTIFS(Sheet1!$AK$1:$AK$50, COLUMN()-1, Sheet1!$AL$1:$AL$50, 32-ROW())&gt;0, 999, IF(AND(COLUMN()-1=Sheet1!$AF$4, 32-ROW()=Sheet1!$AG$4), 0, MIN(I24, J24, K24, I25, K25, I26, J26, K26) + 1)))</f>
        <v>999</v>
      </c>
      <c r="K25">
        <f>IF(Sheet1!$AG$1=1, IF(AND(COLUMN()-1=Sheet1!$AF$4, 32-ROW()=Sheet1!$AG$4), 0, 999), IF(COUNTIFS(Sheet1!$AK$1:$AK$50, COLUMN()-1, Sheet1!$AL$1:$AL$50, 32-ROW())&gt;0, 999, IF(AND(COLUMN()-1=Sheet1!$AF$4, 32-ROW()=Sheet1!$AG$4), 0, MIN(J24, K24, L24, J25, L25, J26, K26, L26) + 1)))</f>
        <v>999</v>
      </c>
      <c r="L25">
        <f>IF(Sheet1!$AG$1=1, IF(AND(COLUMN()-1=Sheet1!$AF$4, 32-ROW()=Sheet1!$AG$4), 0, 999), IF(COUNTIFS(Sheet1!$AK$1:$AK$50, COLUMN()-1, Sheet1!$AL$1:$AL$50, 32-ROW())&gt;0, 999, IF(AND(COLUMN()-1=Sheet1!$AF$4, 32-ROW()=Sheet1!$AG$4), 0, MIN(K24, L24, M24, K25, M25, K26, L26, M26) + 1)))</f>
        <v>999</v>
      </c>
      <c r="M25">
        <f>IF(Sheet1!$AG$1=1, IF(AND(COLUMN()-1=Sheet1!$AF$4, 32-ROW()=Sheet1!$AG$4), 0, 999), IF(COUNTIFS(Sheet1!$AK$1:$AK$50, COLUMN()-1, Sheet1!$AL$1:$AL$50, 32-ROW())&gt;0, 999, IF(AND(COLUMN()-1=Sheet1!$AF$4, 32-ROW()=Sheet1!$AG$4), 0, MIN(L24, M24, N24, L25, N25, L26, M26, N26) + 1)))</f>
        <v>999</v>
      </c>
      <c r="N25">
        <f>IF(Sheet1!$AG$1=1, IF(AND(COLUMN()-1=Sheet1!$AF$4, 32-ROW()=Sheet1!$AG$4), 0, 999), IF(COUNTIFS(Sheet1!$AK$1:$AK$50, COLUMN()-1, Sheet1!$AL$1:$AL$50, 32-ROW())&gt;0, 999, IF(AND(COLUMN()-1=Sheet1!$AF$4, 32-ROW()=Sheet1!$AG$4), 0, MIN(M24, N24, O24, M25, O25, M26, N26, O26) + 1)))</f>
        <v>999</v>
      </c>
      <c r="O25">
        <f>IF(Sheet1!$AG$1=1, IF(AND(COLUMN()-1=Sheet1!$AF$4, 32-ROW()=Sheet1!$AG$4), 0, 999), IF(COUNTIFS(Sheet1!$AK$1:$AK$50, COLUMN()-1, Sheet1!$AL$1:$AL$50, 32-ROW())&gt;0, 999, IF(AND(COLUMN()-1=Sheet1!$AF$4, 32-ROW()=Sheet1!$AG$4), 0, MIN(N24, O24, P24, N25, P25, N26, O26, P26) + 1)))</f>
        <v>999</v>
      </c>
      <c r="P25">
        <f>IF(Sheet1!$AG$1=1, IF(AND(COLUMN()-1=Sheet1!$AF$4, 32-ROW()=Sheet1!$AG$4), 0, 999), IF(COUNTIFS(Sheet1!$AK$1:$AK$50, COLUMN()-1, Sheet1!$AL$1:$AL$50, 32-ROW())&gt;0, 999, IF(AND(COLUMN()-1=Sheet1!$AF$4, 32-ROW()=Sheet1!$AG$4), 0, MIN(O24, P24, Q24, O25, Q25, O26, P26, Q26) + 1)))</f>
        <v>999</v>
      </c>
      <c r="Q25">
        <f>IF(Sheet1!$AG$1=1, IF(AND(COLUMN()-1=Sheet1!$AF$4, 32-ROW()=Sheet1!$AG$4), 0, 999), IF(COUNTIFS(Sheet1!$AK$1:$AK$50, COLUMN()-1, Sheet1!$AL$1:$AL$50, 32-ROW())&gt;0, 999, IF(AND(COLUMN()-1=Sheet1!$AF$4, 32-ROW()=Sheet1!$AG$4), 0, MIN(P24, Q24, R24, P25, R25, P26, Q26, R26) + 1)))</f>
        <v>999</v>
      </c>
      <c r="R25">
        <f>IF(Sheet1!$AG$1=1, IF(AND(COLUMN()-1=Sheet1!$AF$4, 32-ROW()=Sheet1!$AG$4), 0, 999), IF(COUNTIFS(Sheet1!$AK$1:$AK$50, COLUMN()-1, Sheet1!$AL$1:$AL$50, 32-ROW())&gt;0, 999, IF(AND(COLUMN()-1=Sheet1!$AF$4, 32-ROW()=Sheet1!$AG$4), 0, MIN(Q24, R24, S24, Q25, S25, Q26, R26, S26) + 1)))</f>
        <v>999</v>
      </c>
      <c r="S25">
        <f>IF(Sheet1!$AG$1=1, IF(AND(COLUMN()-1=Sheet1!$AF$4, 32-ROW()=Sheet1!$AG$4), 0, 999), IF(COUNTIFS(Sheet1!$AK$1:$AK$50, COLUMN()-1, Sheet1!$AL$1:$AL$50, 32-ROW())&gt;0, 999, IF(AND(COLUMN()-1=Sheet1!$AF$4, 32-ROW()=Sheet1!$AG$4), 0, MIN(R24, S24, T24, R25, T25, R26, S26, T26) + 1)))</f>
        <v>999</v>
      </c>
      <c r="T25">
        <f>IF(Sheet1!$AG$1=1, IF(AND(COLUMN()-1=Sheet1!$AF$4, 32-ROW()=Sheet1!$AG$4), 0, 999), IF(COUNTIFS(Sheet1!$AK$1:$AK$50, COLUMN()-1, Sheet1!$AL$1:$AL$50, 32-ROW())&gt;0, 999, IF(AND(COLUMN()-1=Sheet1!$AF$4, 32-ROW()=Sheet1!$AG$4), 0, MIN(S24, T24, U24, S25, U25, S26, T26, U26) + 1)))</f>
        <v>999</v>
      </c>
      <c r="U25">
        <f>IF(Sheet1!$AG$1=1, IF(AND(COLUMN()-1=Sheet1!$AF$4, 32-ROW()=Sheet1!$AG$4), 0, 999), IF(COUNTIFS(Sheet1!$AK$1:$AK$50, COLUMN()-1, Sheet1!$AL$1:$AL$50, 32-ROW())&gt;0, 999, IF(AND(COLUMN()-1=Sheet1!$AF$4, 32-ROW()=Sheet1!$AG$4), 0, MIN(T24, U24, V24, T25, V25, T26, U26, V26) + 1)))</f>
        <v>999</v>
      </c>
      <c r="V25">
        <f>IF(Sheet1!$AG$1=1, IF(AND(COLUMN()-1=Sheet1!$AF$4, 32-ROW()=Sheet1!$AG$4), 0, 999), IF(COUNTIFS(Sheet1!$AK$1:$AK$50, COLUMN()-1, Sheet1!$AL$1:$AL$50, 32-ROW())&gt;0, 999, IF(AND(COLUMN()-1=Sheet1!$AF$4, 32-ROW()=Sheet1!$AG$4), 0, MIN(U24, V24, W24, U25, W25, U26, V26, W26) + 1)))</f>
        <v>999</v>
      </c>
      <c r="W25">
        <f>IF(Sheet1!$AG$1=1, IF(AND(COLUMN()-1=Sheet1!$AF$4, 32-ROW()=Sheet1!$AG$4), 0, 999), IF(COUNTIFS(Sheet1!$AK$1:$AK$50, COLUMN()-1, Sheet1!$AL$1:$AL$50, 32-ROW())&gt;0, 999, IF(AND(COLUMN()-1=Sheet1!$AF$4, 32-ROW()=Sheet1!$AG$4), 0, MIN(V24, W24, X24, V25, X25, V26, W26, X26) + 1)))</f>
        <v>999</v>
      </c>
      <c r="X25">
        <f>IF(Sheet1!$AG$1=1, IF(AND(COLUMN()-1=Sheet1!$AF$4, 32-ROW()=Sheet1!$AG$4), 0, 999), IF(COUNTIFS(Sheet1!$AK$1:$AK$50, COLUMN()-1, Sheet1!$AL$1:$AL$50, 32-ROW())&gt;0, 999, IF(AND(COLUMN()-1=Sheet1!$AF$4, 32-ROW()=Sheet1!$AG$4), 0, MIN(W24, X24, Y24, W25, Y25, W26, X26, Y26) + 1)))</f>
        <v>999</v>
      </c>
      <c r="Y25">
        <f>IF(Sheet1!$AG$1=1, IF(AND(COLUMN()-1=Sheet1!$AF$4, 32-ROW()=Sheet1!$AG$4), 0, 999), IF(COUNTIFS(Sheet1!$AK$1:$AK$50, COLUMN()-1, Sheet1!$AL$1:$AL$50, 32-ROW())&gt;0, 999, IF(AND(COLUMN()-1=Sheet1!$AF$4, 32-ROW()=Sheet1!$AG$4), 0, MIN(X24, Y24, Z24, X25, Z25, X26, Y26, Z26) + 1)))</f>
        <v>999</v>
      </c>
      <c r="Z25">
        <f>IF(Sheet1!$AG$1=1, IF(AND(COLUMN()-1=Sheet1!$AF$4, 32-ROW()=Sheet1!$AG$4), 0, 999), IF(COUNTIFS(Sheet1!$AK$1:$AK$50, COLUMN()-1, Sheet1!$AL$1:$AL$50, 32-ROW())&gt;0, 999, IF(AND(COLUMN()-1=Sheet1!$AF$4, 32-ROW()=Sheet1!$AG$4), 0, MIN(Y24, Z24, AA24, Y25, AA25, Y26, Z26, AA26) + 1)))</f>
        <v>999</v>
      </c>
      <c r="AA25">
        <f>IF(Sheet1!$AG$1=1, IF(AND(COLUMN()-1=Sheet1!$AF$4, 32-ROW()=Sheet1!$AG$4), 0, 999), IF(COUNTIFS(Sheet1!$AK$1:$AK$50, COLUMN()-1, Sheet1!$AL$1:$AL$50, 32-ROW())&gt;0, 999, IF(AND(COLUMN()-1=Sheet1!$AF$4, 32-ROW()=Sheet1!$AG$4), 0, MIN(Z24, AA24, AB24, Z25, AB25, Z26, AA26, AB26) + 1)))</f>
        <v>999</v>
      </c>
      <c r="AB25">
        <f>IF(Sheet1!$AG$1=1, IF(AND(COLUMN()-1=Sheet1!$AF$4, 32-ROW()=Sheet1!$AG$4), 0, 999), IF(COUNTIFS(Sheet1!$AK$1:$AK$50, COLUMN()-1, Sheet1!$AL$1:$AL$50, 32-ROW())&gt;0, 999, IF(AND(COLUMN()-1=Sheet1!$AF$4, 32-ROW()=Sheet1!$AG$4), 0, MIN(AA24, AB24, AC24, AA25, AC25, AA26, AB26, AC26) + 1)))</f>
        <v>999</v>
      </c>
      <c r="AC25">
        <f>IF(Sheet1!$AG$1=1, IF(AND(COLUMN()-1=Sheet1!$AF$4, 32-ROW()=Sheet1!$AG$4), 0, 999), IF(COUNTIFS(Sheet1!$AK$1:$AK$50, COLUMN()-1, Sheet1!$AL$1:$AL$50, 32-ROW())&gt;0, 999, IF(AND(COLUMN()-1=Sheet1!$AF$4, 32-ROW()=Sheet1!$AG$4), 0, MIN(AB24, AC24, AD24, AB25, AD25, AB26, AC26, AD26) + 1)))</f>
        <v>999</v>
      </c>
      <c r="AD25">
        <f>IF(Sheet1!$AG$1=1, IF(AND(COLUMN()-1=Sheet1!$AF$4, 32-ROW()=Sheet1!$AG$4), 0, 999), IF(COUNTIFS(Sheet1!$AK$1:$AK$50, COLUMN()-1, Sheet1!$AL$1:$AL$50, 32-ROW())&gt;0, 999, IF(AND(COLUMN()-1=Sheet1!$AF$4, 32-ROW()=Sheet1!$AG$4), 0, MIN(AC24, AD24, AE24, AC25, AE25, AC26, AD26, AE26) + 1)))</f>
        <v>999</v>
      </c>
      <c r="AE25">
        <f>IF(Sheet1!$AG$1=1, IF(AND(COLUMN()-1=Sheet1!$AF$4, 32-ROW()=Sheet1!$AG$4), 0, 999), IF(COUNTIFS(Sheet1!$AK$1:$AK$50, COLUMN()-1, Sheet1!$AL$1:$AL$50, 32-ROW())&gt;0, 999, IF(AND(COLUMN()-1=Sheet1!$AF$4, 32-ROW()=Sheet1!$AG$4), 0, MIN(AD24, AE24, AF24, AD25, AF25, AD26, AE26, AF26) + 1)))</f>
        <v>999</v>
      </c>
      <c r="AF25">
        <v>999</v>
      </c>
    </row>
    <row r="26" spans="1:32">
      <c r="A26">
        <v>999</v>
      </c>
      <c r="B26">
        <f>IF(Sheet1!$AG$1=1, IF(AND(COLUMN()-1=Sheet1!$AF$4, 32-ROW()=Sheet1!$AG$4), 0, 999), IF(COUNTIFS(Sheet1!$AK$1:$AK$50, COLUMN()-1, Sheet1!$AL$1:$AL$50, 32-ROW())&gt;0, 999, IF(AND(COLUMN()-1=Sheet1!$AF$4, 32-ROW()=Sheet1!$AG$4), 0, MIN(A25, B25, C25, A26, C26, A27, B27, C27) + 1)))</f>
        <v>999</v>
      </c>
      <c r="C26">
        <f>IF(Sheet1!$AG$1=1, IF(AND(COLUMN()-1=Sheet1!$AF$4, 32-ROW()=Sheet1!$AG$4), 0, 999), IF(COUNTIFS(Sheet1!$AK$1:$AK$50, COLUMN()-1, Sheet1!$AL$1:$AL$50, 32-ROW())&gt;0, 999, IF(AND(COLUMN()-1=Sheet1!$AF$4, 32-ROW()=Sheet1!$AG$4), 0, MIN(B25, C25, D25, B26, D26, B27, C27, D27) + 1)))</f>
        <v>999</v>
      </c>
      <c r="D26">
        <f>IF(Sheet1!$AG$1=1, IF(AND(COLUMN()-1=Sheet1!$AF$4, 32-ROW()=Sheet1!$AG$4), 0, 999), IF(COUNTIFS(Sheet1!$AK$1:$AK$50, COLUMN()-1, Sheet1!$AL$1:$AL$50, 32-ROW())&gt;0, 999, IF(AND(COLUMN()-1=Sheet1!$AF$4, 32-ROW()=Sheet1!$AG$4), 0, MIN(C25, D25, E25, C26, E26, C27, D27, E27) + 1)))</f>
        <v>999</v>
      </c>
      <c r="E26">
        <f>IF(Sheet1!$AG$1=1, IF(AND(COLUMN()-1=Sheet1!$AF$4, 32-ROW()=Sheet1!$AG$4), 0, 999), IF(COUNTIFS(Sheet1!$AK$1:$AK$50, COLUMN()-1, Sheet1!$AL$1:$AL$50, 32-ROW())&gt;0, 999, IF(AND(COLUMN()-1=Sheet1!$AF$4, 32-ROW()=Sheet1!$AG$4), 0, MIN(D25, E25, F25, D26, F26, D27, E27, F27) + 1)))</f>
        <v>999</v>
      </c>
      <c r="F26">
        <f>IF(Sheet1!$AG$1=1, IF(AND(COLUMN()-1=Sheet1!$AF$4, 32-ROW()=Sheet1!$AG$4), 0, 999), IF(COUNTIFS(Sheet1!$AK$1:$AK$50, COLUMN()-1, Sheet1!$AL$1:$AL$50, 32-ROW())&gt;0, 999, IF(AND(COLUMN()-1=Sheet1!$AF$4, 32-ROW()=Sheet1!$AG$4), 0, MIN(E25, F25, G25, E26, G26, E27, F27, G27) + 1)))</f>
        <v>999</v>
      </c>
      <c r="G26">
        <f>IF(Sheet1!$AG$1=1, IF(AND(COLUMN()-1=Sheet1!$AF$4, 32-ROW()=Sheet1!$AG$4), 0, 999), IF(COUNTIFS(Sheet1!$AK$1:$AK$50, COLUMN()-1, Sheet1!$AL$1:$AL$50, 32-ROW())&gt;0, 999, IF(AND(COLUMN()-1=Sheet1!$AF$4, 32-ROW()=Sheet1!$AG$4), 0, MIN(F25, G25, H25, F26, H26, F27, G27, H27) + 1)))</f>
        <v>999</v>
      </c>
      <c r="H26">
        <f>IF(Sheet1!$AG$1=1, IF(AND(COLUMN()-1=Sheet1!$AF$4, 32-ROW()=Sheet1!$AG$4), 0, 999), IF(COUNTIFS(Sheet1!$AK$1:$AK$50, COLUMN()-1, Sheet1!$AL$1:$AL$50, 32-ROW())&gt;0, 999, IF(AND(COLUMN()-1=Sheet1!$AF$4, 32-ROW()=Sheet1!$AG$4), 0, MIN(G25, H25, I25, G26, I26, G27, H27, I27) + 1)))</f>
        <v>999</v>
      </c>
      <c r="I26">
        <f>IF(Sheet1!$AG$1=1, IF(AND(COLUMN()-1=Sheet1!$AF$4, 32-ROW()=Sheet1!$AG$4), 0, 999), IF(COUNTIFS(Sheet1!$AK$1:$AK$50, COLUMN()-1, Sheet1!$AL$1:$AL$50, 32-ROW())&gt;0, 999, IF(AND(COLUMN()-1=Sheet1!$AF$4, 32-ROW()=Sheet1!$AG$4), 0, MIN(H25, I25, J25, H26, J26, H27, I27, J27) + 1)))</f>
        <v>999</v>
      </c>
      <c r="J26">
        <f>IF(Sheet1!$AG$1=1, IF(AND(COLUMN()-1=Sheet1!$AF$4, 32-ROW()=Sheet1!$AG$4), 0, 999), IF(COUNTIFS(Sheet1!$AK$1:$AK$50, COLUMN()-1, Sheet1!$AL$1:$AL$50, 32-ROW())&gt;0, 999, IF(AND(COLUMN()-1=Sheet1!$AF$4, 32-ROW()=Sheet1!$AG$4), 0, MIN(I25, J25, K25, I26, K26, I27, J27, K27) + 1)))</f>
        <v>999</v>
      </c>
      <c r="K26">
        <f>IF(Sheet1!$AG$1=1, IF(AND(COLUMN()-1=Sheet1!$AF$4, 32-ROW()=Sheet1!$AG$4), 0, 999), IF(COUNTIFS(Sheet1!$AK$1:$AK$50, COLUMN()-1, Sheet1!$AL$1:$AL$50, 32-ROW())&gt;0, 999, IF(AND(COLUMN()-1=Sheet1!$AF$4, 32-ROW()=Sheet1!$AG$4), 0, MIN(J25, K25, L25, J26, L26, J27, K27, L27) + 1)))</f>
        <v>999</v>
      </c>
      <c r="L26">
        <f>IF(Sheet1!$AG$1=1, IF(AND(COLUMN()-1=Sheet1!$AF$4, 32-ROW()=Sheet1!$AG$4), 0, 999), IF(COUNTIFS(Sheet1!$AK$1:$AK$50, COLUMN()-1, Sheet1!$AL$1:$AL$50, 32-ROW())&gt;0, 999, IF(AND(COLUMN()-1=Sheet1!$AF$4, 32-ROW()=Sheet1!$AG$4), 0, MIN(K25, L25, M25, K26, M26, K27, L27, M27) + 1)))</f>
        <v>999</v>
      </c>
      <c r="M26">
        <f>IF(Sheet1!$AG$1=1, IF(AND(COLUMN()-1=Sheet1!$AF$4, 32-ROW()=Sheet1!$AG$4), 0, 999), IF(COUNTIFS(Sheet1!$AK$1:$AK$50, COLUMN()-1, Sheet1!$AL$1:$AL$50, 32-ROW())&gt;0, 999, IF(AND(COLUMN()-1=Sheet1!$AF$4, 32-ROW()=Sheet1!$AG$4), 0, MIN(L25, M25, N25, L26, N26, L27, M27, N27) + 1)))</f>
        <v>999</v>
      </c>
      <c r="N26">
        <f>IF(Sheet1!$AG$1=1, IF(AND(COLUMN()-1=Sheet1!$AF$4, 32-ROW()=Sheet1!$AG$4), 0, 999), IF(COUNTIFS(Sheet1!$AK$1:$AK$50, COLUMN()-1, Sheet1!$AL$1:$AL$50, 32-ROW())&gt;0, 999, IF(AND(COLUMN()-1=Sheet1!$AF$4, 32-ROW()=Sheet1!$AG$4), 0, MIN(M25, N25, O25, M26, O26, M27, N27, O27) + 1)))</f>
        <v>999</v>
      </c>
      <c r="O26">
        <f>IF(Sheet1!$AG$1=1, IF(AND(COLUMN()-1=Sheet1!$AF$4, 32-ROW()=Sheet1!$AG$4), 0, 999), IF(COUNTIFS(Sheet1!$AK$1:$AK$50, COLUMN()-1, Sheet1!$AL$1:$AL$50, 32-ROW())&gt;0, 999, IF(AND(COLUMN()-1=Sheet1!$AF$4, 32-ROW()=Sheet1!$AG$4), 0, MIN(N25, O25, P25, N26, P26, N27, O27, P27) + 1)))</f>
        <v>999</v>
      </c>
      <c r="P26">
        <f>IF(Sheet1!$AG$1=1, IF(AND(COLUMN()-1=Sheet1!$AF$4, 32-ROW()=Sheet1!$AG$4), 0, 999), IF(COUNTIFS(Sheet1!$AK$1:$AK$50, COLUMN()-1, Sheet1!$AL$1:$AL$50, 32-ROW())&gt;0, 999, IF(AND(COLUMN()-1=Sheet1!$AF$4, 32-ROW()=Sheet1!$AG$4), 0, MIN(O25, P25, Q25, O26, Q26, O27, P27, Q27) + 1)))</f>
        <v>999</v>
      </c>
      <c r="Q26">
        <f>IF(Sheet1!$AG$1=1, IF(AND(COLUMN()-1=Sheet1!$AF$4, 32-ROW()=Sheet1!$AG$4), 0, 999), IF(COUNTIFS(Sheet1!$AK$1:$AK$50, COLUMN()-1, Sheet1!$AL$1:$AL$50, 32-ROW())&gt;0, 999, IF(AND(COLUMN()-1=Sheet1!$AF$4, 32-ROW()=Sheet1!$AG$4), 0, MIN(P25, Q25, R25, P26, R26, P27, Q27, R27) + 1)))</f>
        <v>999</v>
      </c>
      <c r="R26">
        <f>IF(Sheet1!$AG$1=1, IF(AND(COLUMN()-1=Sheet1!$AF$4, 32-ROW()=Sheet1!$AG$4), 0, 999), IF(COUNTIFS(Sheet1!$AK$1:$AK$50, COLUMN()-1, Sheet1!$AL$1:$AL$50, 32-ROW())&gt;0, 999, IF(AND(COLUMN()-1=Sheet1!$AF$4, 32-ROW()=Sheet1!$AG$4), 0, MIN(Q25, R25, S25, Q26, S26, Q27, R27, S27) + 1)))</f>
        <v>999</v>
      </c>
      <c r="S26">
        <f>IF(Sheet1!$AG$1=1, IF(AND(COLUMN()-1=Sheet1!$AF$4, 32-ROW()=Sheet1!$AG$4), 0, 999), IF(COUNTIFS(Sheet1!$AK$1:$AK$50, COLUMN()-1, Sheet1!$AL$1:$AL$50, 32-ROW())&gt;0, 999, IF(AND(COLUMN()-1=Sheet1!$AF$4, 32-ROW()=Sheet1!$AG$4), 0, MIN(R25, S25, T25, R26, T26, R27, S27, T27) + 1)))</f>
        <v>999</v>
      </c>
      <c r="T26">
        <f>IF(Sheet1!$AG$1=1, IF(AND(COLUMN()-1=Sheet1!$AF$4, 32-ROW()=Sheet1!$AG$4), 0, 999), IF(COUNTIFS(Sheet1!$AK$1:$AK$50, COLUMN()-1, Sheet1!$AL$1:$AL$50, 32-ROW())&gt;0, 999, IF(AND(COLUMN()-1=Sheet1!$AF$4, 32-ROW()=Sheet1!$AG$4), 0, MIN(S25, T25, U25, S26, U26, S27, T27, U27) + 1)))</f>
        <v>999</v>
      </c>
      <c r="U26">
        <f>IF(Sheet1!$AG$1=1, IF(AND(COLUMN()-1=Sheet1!$AF$4, 32-ROW()=Sheet1!$AG$4), 0, 999), IF(COUNTIFS(Sheet1!$AK$1:$AK$50, COLUMN()-1, Sheet1!$AL$1:$AL$50, 32-ROW())&gt;0, 999, IF(AND(COLUMN()-1=Sheet1!$AF$4, 32-ROW()=Sheet1!$AG$4), 0, MIN(T25, U25, V25, T26, V26, T27, U27, V27) + 1)))</f>
        <v>999</v>
      </c>
      <c r="V26">
        <f>IF(Sheet1!$AG$1=1, IF(AND(COLUMN()-1=Sheet1!$AF$4, 32-ROW()=Sheet1!$AG$4), 0, 999), IF(COUNTIFS(Sheet1!$AK$1:$AK$50, COLUMN()-1, Sheet1!$AL$1:$AL$50, 32-ROW())&gt;0, 999, IF(AND(COLUMN()-1=Sheet1!$AF$4, 32-ROW()=Sheet1!$AG$4), 0, MIN(U25, V25, W25, U26, W26, U27, V27, W27) + 1)))</f>
        <v>999</v>
      </c>
      <c r="W26">
        <f>IF(Sheet1!$AG$1=1, IF(AND(COLUMN()-1=Sheet1!$AF$4, 32-ROW()=Sheet1!$AG$4), 0, 999), IF(COUNTIFS(Sheet1!$AK$1:$AK$50, COLUMN()-1, Sheet1!$AL$1:$AL$50, 32-ROW())&gt;0, 999, IF(AND(COLUMN()-1=Sheet1!$AF$4, 32-ROW()=Sheet1!$AG$4), 0, MIN(V25, W25, X25, V26, X26, V27, W27, X27) + 1)))</f>
        <v>999</v>
      </c>
      <c r="X26">
        <f>IF(Sheet1!$AG$1=1, IF(AND(COLUMN()-1=Sheet1!$AF$4, 32-ROW()=Sheet1!$AG$4), 0, 999), IF(COUNTIFS(Sheet1!$AK$1:$AK$50, COLUMN()-1, Sheet1!$AL$1:$AL$50, 32-ROW())&gt;0, 999, IF(AND(COLUMN()-1=Sheet1!$AF$4, 32-ROW()=Sheet1!$AG$4), 0, MIN(W25, X25, Y25, W26, Y26, W27, X27, Y27) + 1)))</f>
        <v>999</v>
      </c>
      <c r="Y26">
        <f>IF(Sheet1!$AG$1=1, IF(AND(COLUMN()-1=Sheet1!$AF$4, 32-ROW()=Sheet1!$AG$4), 0, 999), IF(COUNTIFS(Sheet1!$AK$1:$AK$50, COLUMN()-1, Sheet1!$AL$1:$AL$50, 32-ROW())&gt;0, 999, IF(AND(COLUMN()-1=Sheet1!$AF$4, 32-ROW()=Sheet1!$AG$4), 0, MIN(X25, Y25, Z25, X26, Z26, X27, Y27, Z27) + 1)))</f>
        <v>999</v>
      </c>
      <c r="Z26">
        <f>IF(Sheet1!$AG$1=1, IF(AND(COLUMN()-1=Sheet1!$AF$4, 32-ROW()=Sheet1!$AG$4), 0, 999), IF(COUNTIFS(Sheet1!$AK$1:$AK$50, COLUMN()-1, Sheet1!$AL$1:$AL$50, 32-ROW())&gt;0, 999, IF(AND(COLUMN()-1=Sheet1!$AF$4, 32-ROW()=Sheet1!$AG$4), 0, MIN(Y25, Z25, AA25, Y26, AA26, Y27, Z27, AA27) + 1)))</f>
        <v>999</v>
      </c>
      <c r="AA26">
        <f>IF(Sheet1!$AG$1=1, IF(AND(COLUMN()-1=Sheet1!$AF$4, 32-ROW()=Sheet1!$AG$4), 0, 999), IF(COUNTIFS(Sheet1!$AK$1:$AK$50, COLUMN()-1, Sheet1!$AL$1:$AL$50, 32-ROW())&gt;0, 999, IF(AND(COLUMN()-1=Sheet1!$AF$4, 32-ROW()=Sheet1!$AG$4), 0, MIN(Z25, AA25, AB25, Z26, AB26, Z27, AA27, AB27) + 1)))</f>
        <v>999</v>
      </c>
      <c r="AB26">
        <f>IF(Sheet1!$AG$1=1, IF(AND(COLUMN()-1=Sheet1!$AF$4, 32-ROW()=Sheet1!$AG$4), 0, 999), IF(COUNTIFS(Sheet1!$AK$1:$AK$50, COLUMN()-1, Sheet1!$AL$1:$AL$50, 32-ROW())&gt;0, 999, IF(AND(COLUMN()-1=Sheet1!$AF$4, 32-ROW()=Sheet1!$AG$4), 0, MIN(AA25, AB25, AC25, AA26, AC26, AA27, AB27, AC27) + 1)))</f>
        <v>999</v>
      </c>
      <c r="AC26">
        <f>IF(Sheet1!$AG$1=1, IF(AND(COLUMN()-1=Sheet1!$AF$4, 32-ROW()=Sheet1!$AG$4), 0, 999), IF(COUNTIFS(Sheet1!$AK$1:$AK$50, COLUMN()-1, Sheet1!$AL$1:$AL$50, 32-ROW())&gt;0, 999, IF(AND(COLUMN()-1=Sheet1!$AF$4, 32-ROW()=Sheet1!$AG$4), 0, MIN(AB25, AC25, AD25, AB26, AD26, AB27, AC27, AD27) + 1)))</f>
        <v>999</v>
      </c>
      <c r="AD26">
        <f>IF(Sheet1!$AG$1=1, IF(AND(COLUMN()-1=Sheet1!$AF$4, 32-ROW()=Sheet1!$AG$4), 0, 999), IF(COUNTIFS(Sheet1!$AK$1:$AK$50, COLUMN()-1, Sheet1!$AL$1:$AL$50, 32-ROW())&gt;0, 999, IF(AND(COLUMN()-1=Sheet1!$AF$4, 32-ROW()=Sheet1!$AG$4), 0, MIN(AC25, AD25, AE25, AC26, AE26, AC27, AD27, AE27) + 1)))</f>
        <v>999</v>
      </c>
      <c r="AE26">
        <f>IF(Sheet1!$AG$1=1, IF(AND(COLUMN()-1=Sheet1!$AF$4, 32-ROW()=Sheet1!$AG$4), 0, 999), IF(COUNTIFS(Sheet1!$AK$1:$AK$50, COLUMN()-1, Sheet1!$AL$1:$AL$50, 32-ROW())&gt;0, 999, IF(AND(COLUMN()-1=Sheet1!$AF$4, 32-ROW()=Sheet1!$AG$4), 0, MIN(AD25, AE25, AF25, AD26, AF26, AD27, AE27, AF27) + 1)))</f>
        <v>999</v>
      </c>
      <c r="AF26">
        <v>999</v>
      </c>
    </row>
    <row r="27" spans="1:32">
      <c r="A27">
        <v>999</v>
      </c>
      <c r="B27">
        <f>IF(Sheet1!$AG$1=1, IF(AND(COLUMN()-1=Sheet1!$AF$4, 32-ROW()=Sheet1!$AG$4), 0, 999), IF(COUNTIFS(Sheet1!$AK$1:$AK$50, COLUMN()-1, Sheet1!$AL$1:$AL$50, 32-ROW())&gt;0, 999, IF(AND(COLUMN()-1=Sheet1!$AF$4, 32-ROW()=Sheet1!$AG$4), 0, MIN(A26, B26, C26, A27, C27, A28, B28, C28) + 1)))</f>
        <v>999</v>
      </c>
      <c r="C27">
        <f>IF(Sheet1!$AG$1=1, IF(AND(COLUMN()-1=Sheet1!$AF$4, 32-ROW()=Sheet1!$AG$4), 0, 999), IF(COUNTIFS(Sheet1!$AK$1:$AK$50, COLUMN()-1, Sheet1!$AL$1:$AL$50, 32-ROW())&gt;0, 999, IF(AND(COLUMN()-1=Sheet1!$AF$4, 32-ROW()=Sheet1!$AG$4), 0, MIN(B26, C26, D26, B27, D27, B28, C28, D28) + 1)))</f>
        <v>999</v>
      </c>
      <c r="D27">
        <f>IF(Sheet1!$AG$1=1, IF(AND(COLUMN()-1=Sheet1!$AF$4, 32-ROW()=Sheet1!$AG$4), 0, 999), IF(COUNTIFS(Sheet1!$AK$1:$AK$50, COLUMN()-1, Sheet1!$AL$1:$AL$50, 32-ROW())&gt;0, 999, IF(AND(COLUMN()-1=Sheet1!$AF$4, 32-ROW()=Sheet1!$AG$4), 0, MIN(C26, D26, E26, C27, E27, C28, D28, E28) + 1)))</f>
        <v>999</v>
      </c>
      <c r="E27">
        <f>IF(Sheet1!$AG$1=1, IF(AND(COLUMN()-1=Sheet1!$AF$4, 32-ROW()=Sheet1!$AG$4), 0, 999), IF(COUNTIFS(Sheet1!$AK$1:$AK$50, COLUMN()-1, Sheet1!$AL$1:$AL$50, 32-ROW())&gt;0, 999, IF(AND(COLUMN()-1=Sheet1!$AF$4, 32-ROW()=Sheet1!$AG$4), 0, MIN(D26, E26, F26, D27, F27, D28, E28, F28) + 1)))</f>
        <v>999</v>
      </c>
      <c r="F27">
        <f>IF(Sheet1!$AG$1=1, IF(AND(COLUMN()-1=Sheet1!$AF$4, 32-ROW()=Sheet1!$AG$4), 0, 999), IF(COUNTIFS(Sheet1!$AK$1:$AK$50, COLUMN()-1, Sheet1!$AL$1:$AL$50, 32-ROW())&gt;0, 999, IF(AND(COLUMN()-1=Sheet1!$AF$4, 32-ROW()=Sheet1!$AG$4), 0, MIN(E26, F26, G26, E27, G27, E28, F28, G28) + 1)))</f>
        <v>999</v>
      </c>
      <c r="G27">
        <f>IF(Sheet1!$AG$1=1, IF(AND(COLUMN()-1=Sheet1!$AF$4, 32-ROW()=Sheet1!$AG$4), 0, 999), IF(COUNTIFS(Sheet1!$AK$1:$AK$50, COLUMN()-1, Sheet1!$AL$1:$AL$50, 32-ROW())&gt;0, 999, IF(AND(COLUMN()-1=Sheet1!$AF$4, 32-ROW()=Sheet1!$AG$4), 0, MIN(F26, G26, H26, F27, H27, F28, G28, H28) + 1)))</f>
        <v>999</v>
      </c>
      <c r="H27">
        <f>IF(Sheet1!$AG$1=1, IF(AND(COLUMN()-1=Sheet1!$AF$4, 32-ROW()=Sheet1!$AG$4), 0, 999), IF(COUNTIFS(Sheet1!$AK$1:$AK$50, COLUMN()-1, Sheet1!$AL$1:$AL$50, 32-ROW())&gt;0, 999, IF(AND(COLUMN()-1=Sheet1!$AF$4, 32-ROW()=Sheet1!$AG$4), 0, MIN(G26, H26, I26, G27, I27, G28, H28, I28) + 1)))</f>
        <v>999</v>
      </c>
      <c r="I27">
        <f>IF(Sheet1!$AG$1=1, IF(AND(COLUMN()-1=Sheet1!$AF$4, 32-ROW()=Sheet1!$AG$4), 0, 999), IF(COUNTIFS(Sheet1!$AK$1:$AK$50, COLUMN()-1, Sheet1!$AL$1:$AL$50, 32-ROW())&gt;0, 999, IF(AND(COLUMN()-1=Sheet1!$AF$4, 32-ROW()=Sheet1!$AG$4), 0, MIN(H26, I26, J26, H27, J27, H28, I28, J28) + 1)))</f>
        <v>999</v>
      </c>
      <c r="J27">
        <f>IF(Sheet1!$AG$1=1, IF(AND(COLUMN()-1=Sheet1!$AF$4, 32-ROW()=Sheet1!$AG$4), 0, 999), IF(COUNTIFS(Sheet1!$AK$1:$AK$50, COLUMN()-1, Sheet1!$AL$1:$AL$50, 32-ROW())&gt;0, 999, IF(AND(COLUMN()-1=Sheet1!$AF$4, 32-ROW()=Sheet1!$AG$4), 0, MIN(I26, J26, K26, I27, K27, I28, J28, K28) + 1)))</f>
        <v>999</v>
      </c>
      <c r="K27">
        <f>IF(Sheet1!$AG$1=1, IF(AND(COLUMN()-1=Sheet1!$AF$4, 32-ROW()=Sheet1!$AG$4), 0, 999), IF(COUNTIFS(Sheet1!$AK$1:$AK$50, COLUMN()-1, Sheet1!$AL$1:$AL$50, 32-ROW())&gt;0, 999, IF(AND(COLUMN()-1=Sheet1!$AF$4, 32-ROW()=Sheet1!$AG$4), 0, MIN(J26, K26, L26, J27, L27, J28, K28, L28) + 1)))</f>
        <v>999</v>
      </c>
      <c r="L27">
        <f>IF(Sheet1!$AG$1=1, IF(AND(COLUMN()-1=Sheet1!$AF$4, 32-ROW()=Sheet1!$AG$4), 0, 999), IF(COUNTIFS(Sheet1!$AK$1:$AK$50, COLUMN()-1, Sheet1!$AL$1:$AL$50, 32-ROW())&gt;0, 999, IF(AND(COLUMN()-1=Sheet1!$AF$4, 32-ROW()=Sheet1!$AG$4), 0, MIN(K26, L26, M26, K27, M27, K28, L28, M28) + 1)))</f>
        <v>999</v>
      </c>
      <c r="M27">
        <f>IF(Sheet1!$AG$1=1, IF(AND(COLUMN()-1=Sheet1!$AF$4, 32-ROW()=Sheet1!$AG$4), 0, 999), IF(COUNTIFS(Sheet1!$AK$1:$AK$50, COLUMN()-1, Sheet1!$AL$1:$AL$50, 32-ROW())&gt;0, 999, IF(AND(COLUMN()-1=Sheet1!$AF$4, 32-ROW()=Sheet1!$AG$4), 0, MIN(L26, M26, N26, L27, N27, L28, M28, N28) + 1)))</f>
        <v>999</v>
      </c>
      <c r="N27">
        <f>IF(Sheet1!$AG$1=1, IF(AND(COLUMN()-1=Sheet1!$AF$4, 32-ROW()=Sheet1!$AG$4), 0, 999), IF(COUNTIFS(Sheet1!$AK$1:$AK$50, COLUMN()-1, Sheet1!$AL$1:$AL$50, 32-ROW())&gt;0, 999, IF(AND(COLUMN()-1=Sheet1!$AF$4, 32-ROW()=Sheet1!$AG$4), 0, MIN(M26, N26, O26, M27, O27, M28, N28, O28) + 1)))</f>
        <v>999</v>
      </c>
      <c r="O27">
        <f>IF(Sheet1!$AG$1=1, IF(AND(COLUMN()-1=Sheet1!$AF$4, 32-ROW()=Sheet1!$AG$4), 0, 999), IF(COUNTIFS(Sheet1!$AK$1:$AK$50, COLUMN()-1, Sheet1!$AL$1:$AL$50, 32-ROW())&gt;0, 999, IF(AND(COLUMN()-1=Sheet1!$AF$4, 32-ROW()=Sheet1!$AG$4), 0, MIN(N26, O26, P26, N27, P27, N28, O28, P28) + 1)))</f>
        <v>999</v>
      </c>
      <c r="P27">
        <f>IF(Sheet1!$AG$1=1, IF(AND(COLUMN()-1=Sheet1!$AF$4, 32-ROW()=Sheet1!$AG$4), 0, 999), IF(COUNTIFS(Sheet1!$AK$1:$AK$50, COLUMN()-1, Sheet1!$AL$1:$AL$50, 32-ROW())&gt;0, 999, IF(AND(COLUMN()-1=Sheet1!$AF$4, 32-ROW()=Sheet1!$AG$4), 0, MIN(O26, P26, Q26, O27, Q27, O28, P28, Q28) + 1)))</f>
        <v>999</v>
      </c>
      <c r="Q27">
        <f>IF(Sheet1!$AG$1=1, IF(AND(COLUMN()-1=Sheet1!$AF$4, 32-ROW()=Sheet1!$AG$4), 0, 999), IF(COUNTIFS(Sheet1!$AK$1:$AK$50, COLUMN()-1, Sheet1!$AL$1:$AL$50, 32-ROW())&gt;0, 999, IF(AND(COLUMN()-1=Sheet1!$AF$4, 32-ROW()=Sheet1!$AG$4), 0, MIN(P26, Q26, R26, P27, R27, P28, Q28, R28) + 1)))</f>
        <v>999</v>
      </c>
      <c r="R27">
        <f>IF(Sheet1!$AG$1=1, IF(AND(COLUMN()-1=Sheet1!$AF$4, 32-ROW()=Sheet1!$AG$4), 0, 999), IF(COUNTIFS(Sheet1!$AK$1:$AK$50, COLUMN()-1, Sheet1!$AL$1:$AL$50, 32-ROW())&gt;0, 999, IF(AND(COLUMN()-1=Sheet1!$AF$4, 32-ROW()=Sheet1!$AG$4), 0, MIN(Q26, R26, S26, Q27, S27, Q28, R28, S28) + 1)))</f>
        <v>999</v>
      </c>
      <c r="S27">
        <f>IF(Sheet1!$AG$1=1, IF(AND(COLUMN()-1=Sheet1!$AF$4, 32-ROW()=Sheet1!$AG$4), 0, 999), IF(COUNTIFS(Sheet1!$AK$1:$AK$50, COLUMN()-1, Sheet1!$AL$1:$AL$50, 32-ROW())&gt;0, 999, IF(AND(COLUMN()-1=Sheet1!$AF$4, 32-ROW()=Sheet1!$AG$4), 0, MIN(R26, S26, T26, R27, T27, R28, S28, T28) + 1)))</f>
        <v>999</v>
      </c>
      <c r="T27">
        <f>IF(Sheet1!$AG$1=1, IF(AND(COLUMN()-1=Sheet1!$AF$4, 32-ROW()=Sheet1!$AG$4), 0, 999), IF(COUNTIFS(Sheet1!$AK$1:$AK$50, COLUMN()-1, Sheet1!$AL$1:$AL$50, 32-ROW())&gt;0, 999, IF(AND(COLUMN()-1=Sheet1!$AF$4, 32-ROW()=Sheet1!$AG$4), 0, MIN(S26, T26, U26, S27, U27, S28, T28, U28) + 1)))</f>
        <v>999</v>
      </c>
      <c r="U27">
        <f>IF(Sheet1!$AG$1=1, IF(AND(COLUMN()-1=Sheet1!$AF$4, 32-ROW()=Sheet1!$AG$4), 0, 999), IF(COUNTIFS(Sheet1!$AK$1:$AK$50, COLUMN()-1, Sheet1!$AL$1:$AL$50, 32-ROW())&gt;0, 999, IF(AND(COLUMN()-1=Sheet1!$AF$4, 32-ROW()=Sheet1!$AG$4), 0, MIN(T26, U26, V26, T27, V27, T28, U28, V28) + 1)))</f>
        <v>999</v>
      </c>
      <c r="V27">
        <f>IF(Sheet1!$AG$1=1, IF(AND(COLUMN()-1=Sheet1!$AF$4, 32-ROW()=Sheet1!$AG$4), 0, 999), IF(COUNTIFS(Sheet1!$AK$1:$AK$50, COLUMN()-1, Sheet1!$AL$1:$AL$50, 32-ROW())&gt;0, 999, IF(AND(COLUMN()-1=Sheet1!$AF$4, 32-ROW()=Sheet1!$AG$4), 0, MIN(U26, V26, W26, U27, W27, U28, V28, W28) + 1)))</f>
        <v>999</v>
      </c>
      <c r="W27">
        <f>IF(Sheet1!$AG$1=1, IF(AND(COLUMN()-1=Sheet1!$AF$4, 32-ROW()=Sheet1!$AG$4), 0, 999), IF(COUNTIFS(Sheet1!$AK$1:$AK$50, COLUMN()-1, Sheet1!$AL$1:$AL$50, 32-ROW())&gt;0, 999, IF(AND(COLUMN()-1=Sheet1!$AF$4, 32-ROW()=Sheet1!$AG$4), 0, MIN(V26, W26, X26, V27, X27, V28, W28, X28) + 1)))</f>
        <v>999</v>
      </c>
      <c r="X27">
        <f>IF(Sheet1!$AG$1=1, IF(AND(COLUMN()-1=Sheet1!$AF$4, 32-ROW()=Sheet1!$AG$4), 0, 999), IF(COUNTIFS(Sheet1!$AK$1:$AK$50, COLUMN()-1, Sheet1!$AL$1:$AL$50, 32-ROW())&gt;0, 999, IF(AND(COLUMN()-1=Sheet1!$AF$4, 32-ROW()=Sheet1!$AG$4), 0, MIN(W26, X26, Y26, W27, Y27, W28, X28, Y28) + 1)))</f>
        <v>999</v>
      </c>
      <c r="Y27">
        <f>IF(Sheet1!$AG$1=1, IF(AND(COLUMN()-1=Sheet1!$AF$4, 32-ROW()=Sheet1!$AG$4), 0, 999), IF(COUNTIFS(Sheet1!$AK$1:$AK$50, COLUMN()-1, Sheet1!$AL$1:$AL$50, 32-ROW())&gt;0, 999, IF(AND(COLUMN()-1=Sheet1!$AF$4, 32-ROW()=Sheet1!$AG$4), 0, MIN(X26, Y26, Z26, X27, Z27, X28, Y28, Z28) + 1)))</f>
        <v>999</v>
      </c>
      <c r="Z27">
        <f>IF(Sheet1!$AG$1=1, IF(AND(COLUMN()-1=Sheet1!$AF$4, 32-ROW()=Sheet1!$AG$4), 0, 999), IF(COUNTIFS(Sheet1!$AK$1:$AK$50, COLUMN()-1, Sheet1!$AL$1:$AL$50, 32-ROW())&gt;0, 999, IF(AND(COLUMN()-1=Sheet1!$AF$4, 32-ROW()=Sheet1!$AG$4), 0, MIN(Y26, Z26, AA26, Y27, AA27, Y28, Z28, AA28) + 1)))</f>
        <v>999</v>
      </c>
      <c r="AA27">
        <f>IF(Sheet1!$AG$1=1, IF(AND(COLUMN()-1=Sheet1!$AF$4, 32-ROW()=Sheet1!$AG$4), 0, 999), IF(COUNTIFS(Sheet1!$AK$1:$AK$50, COLUMN()-1, Sheet1!$AL$1:$AL$50, 32-ROW())&gt;0, 999, IF(AND(COLUMN()-1=Sheet1!$AF$4, 32-ROW()=Sheet1!$AG$4), 0, MIN(Z26, AA26, AB26, Z27, AB27, Z28, AA28, AB28) + 1)))</f>
        <v>999</v>
      </c>
      <c r="AB27">
        <f>IF(Sheet1!$AG$1=1, IF(AND(COLUMN()-1=Sheet1!$AF$4, 32-ROW()=Sheet1!$AG$4), 0, 999), IF(COUNTIFS(Sheet1!$AK$1:$AK$50, COLUMN()-1, Sheet1!$AL$1:$AL$50, 32-ROW())&gt;0, 999, IF(AND(COLUMN()-1=Sheet1!$AF$4, 32-ROW()=Sheet1!$AG$4), 0, MIN(AA26, AB26, AC26, AA27, AC27, AA28, AB28, AC28) + 1)))</f>
        <v>999</v>
      </c>
      <c r="AC27">
        <f>IF(Sheet1!$AG$1=1, IF(AND(COLUMN()-1=Sheet1!$AF$4, 32-ROW()=Sheet1!$AG$4), 0, 999), IF(COUNTIFS(Sheet1!$AK$1:$AK$50, COLUMN()-1, Sheet1!$AL$1:$AL$50, 32-ROW())&gt;0, 999, IF(AND(COLUMN()-1=Sheet1!$AF$4, 32-ROW()=Sheet1!$AG$4), 0, MIN(AB26, AC26, AD26, AB27, AD27, AB28, AC28, AD28) + 1)))</f>
        <v>999</v>
      </c>
      <c r="AD27">
        <f>IF(Sheet1!$AG$1=1, IF(AND(COLUMN()-1=Sheet1!$AF$4, 32-ROW()=Sheet1!$AG$4), 0, 999), IF(COUNTIFS(Sheet1!$AK$1:$AK$50, COLUMN()-1, Sheet1!$AL$1:$AL$50, 32-ROW())&gt;0, 999, IF(AND(COLUMN()-1=Sheet1!$AF$4, 32-ROW()=Sheet1!$AG$4), 0, MIN(AC26, AD26, AE26, AC27, AE27, AC28, AD28, AE28) + 1)))</f>
        <v>999</v>
      </c>
      <c r="AE27">
        <f>IF(Sheet1!$AG$1=1, IF(AND(COLUMN()-1=Sheet1!$AF$4, 32-ROW()=Sheet1!$AG$4), 0, 999), IF(COUNTIFS(Sheet1!$AK$1:$AK$50, COLUMN()-1, Sheet1!$AL$1:$AL$50, 32-ROW())&gt;0, 999, IF(AND(COLUMN()-1=Sheet1!$AF$4, 32-ROW()=Sheet1!$AG$4), 0, MIN(AD26, AE26, AF26, AD27, AF27, AD28, AE28, AF28) + 1)))</f>
        <v>999</v>
      </c>
      <c r="AF27">
        <v>999</v>
      </c>
    </row>
    <row r="28" spans="1:32">
      <c r="A28">
        <v>999</v>
      </c>
      <c r="B28">
        <f>IF(Sheet1!$AG$1=1, IF(AND(COLUMN()-1=Sheet1!$AF$4, 32-ROW()=Sheet1!$AG$4), 0, 999), IF(COUNTIFS(Sheet1!$AK$1:$AK$50, COLUMN()-1, Sheet1!$AL$1:$AL$50, 32-ROW())&gt;0, 999, IF(AND(COLUMN()-1=Sheet1!$AF$4, 32-ROW()=Sheet1!$AG$4), 0, MIN(A27, B27, C27, A28, C28, A29, B29, C29) + 1)))</f>
        <v>999</v>
      </c>
      <c r="C28">
        <f>IF(Sheet1!$AG$1=1, IF(AND(COLUMN()-1=Sheet1!$AF$4, 32-ROW()=Sheet1!$AG$4), 0, 999), IF(COUNTIFS(Sheet1!$AK$1:$AK$50, COLUMN()-1, Sheet1!$AL$1:$AL$50, 32-ROW())&gt;0, 999, IF(AND(COLUMN()-1=Sheet1!$AF$4, 32-ROW()=Sheet1!$AG$4), 0, MIN(B27, C27, D27, B28, D28, B29, C29, D29) + 1)))</f>
        <v>999</v>
      </c>
      <c r="D28">
        <f>IF(Sheet1!$AG$1=1, IF(AND(COLUMN()-1=Sheet1!$AF$4, 32-ROW()=Sheet1!$AG$4), 0, 999), IF(COUNTIFS(Sheet1!$AK$1:$AK$50, COLUMN()-1, Sheet1!$AL$1:$AL$50, 32-ROW())&gt;0, 999, IF(AND(COLUMN()-1=Sheet1!$AF$4, 32-ROW()=Sheet1!$AG$4), 0, MIN(C27, D27, E27, C28, E28, C29, D29, E29) + 1)))</f>
        <v>999</v>
      </c>
      <c r="E28">
        <f>IF(Sheet1!$AG$1=1, IF(AND(COLUMN()-1=Sheet1!$AF$4, 32-ROW()=Sheet1!$AG$4), 0, 999), IF(COUNTIFS(Sheet1!$AK$1:$AK$50, COLUMN()-1, Sheet1!$AL$1:$AL$50, 32-ROW())&gt;0, 999, IF(AND(COLUMN()-1=Sheet1!$AF$4, 32-ROW()=Sheet1!$AG$4), 0, MIN(D27, E27, F27, D28, F28, D29, E29, F29) + 1)))</f>
        <v>999</v>
      </c>
      <c r="F28">
        <f>IF(Sheet1!$AG$1=1, IF(AND(COLUMN()-1=Sheet1!$AF$4, 32-ROW()=Sheet1!$AG$4), 0, 999), IF(COUNTIFS(Sheet1!$AK$1:$AK$50, COLUMN()-1, Sheet1!$AL$1:$AL$50, 32-ROW())&gt;0, 999, IF(AND(COLUMN()-1=Sheet1!$AF$4, 32-ROW()=Sheet1!$AG$4), 0, MIN(E27, F27, G27, E28, G28, E29, F29, G29) + 1)))</f>
        <v>999</v>
      </c>
      <c r="G28">
        <f>IF(Sheet1!$AG$1=1, IF(AND(COLUMN()-1=Sheet1!$AF$4, 32-ROW()=Sheet1!$AG$4), 0, 999), IF(COUNTIFS(Sheet1!$AK$1:$AK$50, COLUMN()-1, Sheet1!$AL$1:$AL$50, 32-ROW())&gt;0, 999, IF(AND(COLUMN()-1=Sheet1!$AF$4, 32-ROW()=Sheet1!$AG$4), 0, MIN(F27, G27, H27, F28, H28, F29, G29, H29) + 1)))</f>
        <v>999</v>
      </c>
      <c r="H28">
        <f>IF(Sheet1!$AG$1=1, IF(AND(COLUMN()-1=Sheet1!$AF$4, 32-ROW()=Sheet1!$AG$4), 0, 999), IF(COUNTIFS(Sheet1!$AK$1:$AK$50, COLUMN()-1, Sheet1!$AL$1:$AL$50, 32-ROW())&gt;0, 999, IF(AND(COLUMN()-1=Sheet1!$AF$4, 32-ROW()=Sheet1!$AG$4), 0, MIN(G27, H27, I27, G28, I28, G29, H29, I29) + 1)))</f>
        <v>999</v>
      </c>
      <c r="I28">
        <f>IF(Sheet1!$AG$1=1, IF(AND(COLUMN()-1=Sheet1!$AF$4, 32-ROW()=Sheet1!$AG$4), 0, 999), IF(COUNTIFS(Sheet1!$AK$1:$AK$50, COLUMN()-1, Sheet1!$AL$1:$AL$50, 32-ROW())&gt;0, 999, IF(AND(COLUMN()-1=Sheet1!$AF$4, 32-ROW()=Sheet1!$AG$4), 0, MIN(H27, I27, J27, H28, J28, H29, I29, J29) + 1)))</f>
        <v>999</v>
      </c>
      <c r="J28">
        <f>IF(Sheet1!$AG$1=1, IF(AND(COLUMN()-1=Sheet1!$AF$4, 32-ROW()=Sheet1!$AG$4), 0, 999), IF(COUNTIFS(Sheet1!$AK$1:$AK$50, COLUMN()-1, Sheet1!$AL$1:$AL$50, 32-ROW())&gt;0, 999, IF(AND(COLUMN()-1=Sheet1!$AF$4, 32-ROW()=Sheet1!$AG$4), 0, MIN(I27, J27, K27, I28, K28, I29, J29, K29) + 1)))</f>
        <v>999</v>
      </c>
      <c r="K28">
        <f>IF(Sheet1!$AG$1=1, IF(AND(COLUMN()-1=Sheet1!$AF$4, 32-ROW()=Sheet1!$AG$4), 0, 999), IF(COUNTIFS(Sheet1!$AK$1:$AK$50, COLUMN()-1, Sheet1!$AL$1:$AL$50, 32-ROW())&gt;0, 999, IF(AND(COLUMN()-1=Sheet1!$AF$4, 32-ROW()=Sheet1!$AG$4), 0, MIN(J27, K27, L27, J28, L28, J29, K29, L29) + 1)))</f>
        <v>999</v>
      </c>
      <c r="L28">
        <f>IF(Sheet1!$AG$1=1, IF(AND(COLUMN()-1=Sheet1!$AF$4, 32-ROW()=Sheet1!$AG$4), 0, 999), IF(COUNTIFS(Sheet1!$AK$1:$AK$50, COLUMN()-1, Sheet1!$AL$1:$AL$50, 32-ROW())&gt;0, 999, IF(AND(COLUMN()-1=Sheet1!$AF$4, 32-ROW()=Sheet1!$AG$4), 0, MIN(K27, L27, M27, K28, M28, K29, L29, M29) + 1)))</f>
        <v>999</v>
      </c>
      <c r="M28">
        <f>IF(Sheet1!$AG$1=1, IF(AND(COLUMN()-1=Sheet1!$AF$4, 32-ROW()=Sheet1!$AG$4), 0, 999), IF(COUNTIFS(Sheet1!$AK$1:$AK$50, COLUMN()-1, Sheet1!$AL$1:$AL$50, 32-ROW())&gt;0, 999, IF(AND(COLUMN()-1=Sheet1!$AF$4, 32-ROW()=Sheet1!$AG$4), 0, MIN(L27, M27, N27, L28, N28, L29, M29, N29) + 1)))</f>
        <v>999</v>
      </c>
      <c r="N28">
        <f>IF(Sheet1!$AG$1=1, IF(AND(COLUMN()-1=Sheet1!$AF$4, 32-ROW()=Sheet1!$AG$4), 0, 999), IF(COUNTIFS(Sheet1!$AK$1:$AK$50, COLUMN()-1, Sheet1!$AL$1:$AL$50, 32-ROW())&gt;0, 999, IF(AND(COLUMN()-1=Sheet1!$AF$4, 32-ROW()=Sheet1!$AG$4), 0, MIN(M27, N27, O27, M28, O28, M29, N29, O29) + 1)))</f>
        <v>999</v>
      </c>
      <c r="O28">
        <f>IF(Sheet1!$AG$1=1, IF(AND(COLUMN()-1=Sheet1!$AF$4, 32-ROW()=Sheet1!$AG$4), 0, 999), IF(COUNTIFS(Sheet1!$AK$1:$AK$50, COLUMN()-1, Sheet1!$AL$1:$AL$50, 32-ROW())&gt;0, 999, IF(AND(COLUMN()-1=Sheet1!$AF$4, 32-ROW()=Sheet1!$AG$4), 0, MIN(N27, O27, P27, N28, P28, N29, O29, P29) + 1)))</f>
        <v>999</v>
      </c>
      <c r="P28">
        <f>IF(Sheet1!$AG$1=1, IF(AND(COLUMN()-1=Sheet1!$AF$4, 32-ROW()=Sheet1!$AG$4), 0, 999), IF(COUNTIFS(Sheet1!$AK$1:$AK$50, COLUMN()-1, Sheet1!$AL$1:$AL$50, 32-ROW())&gt;0, 999, IF(AND(COLUMN()-1=Sheet1!$AF$4, 32-ROW()=Sheet1!$AG$4), 0, MIN(O27, P27, Q27, O28, Q28, O29, P29, Q29) + 1)))</f>
        <v>999</v>
      </c>
      <c r="Q28">
        <f>IF(Sheet1!$AG$1=1, IF(AND(COLUMN()-1=Sheet1!$AF$4, 32-ROW()=Sheet1!$AG$4), 0, 999), IF(COUNTIFS(Sheet1!$AK$1:$AK$50, COLUMN()-1, Sheet1!$AL$1:$AL$50, 32-ROW())&gt;0, 999, IF(AND(COLUMN()-1=Sheet1!$AF$4, 32-ROW()=Sheet1!$AG$4), 0, MIN(P27, Q27, R27, P28, R28, P29, Q29, R29) + 1)))</f>
        <v>999</v>
      </c>
      <c r="R28">
        <f>IF(Sheet1!$AG$1=1, IF(AND(COLUMN()-1=Sheet1!$AF$4, 32-ROW()=Sheet1!$AG$4), 0, 999), IF(COUNTIFS(Sheet1!$AK$1:$AK$50, COLUMN()-1, Sheet1!$AL$1:$AL$50, 32-ROW())&gt;0, 999, IF(AND(COLUMN()-1=Sheet1!$AF$4, 32-ROW()=Sheet1!$AG$4), 0, MIN(Q27, R27, S27, Q28, S28, Q29, R29, S29) + 1)))</f>
        <v>999</v>
      </c>
      <c r="S28">
        <f>IF(Sheet1!$AG$1=1, IF(AND(COLUMN()-1=Sheet1!$AF$4, 32-ROW()=Sheet1!$AG$4), 0, 999), IF(COUNTIFS(Sheet1!$AK$1:$AK$50, COLUMN()-1, Sheet1!$AL$1:$AL$50, 32-ROW())&gt;0, 999, IF(AND(COLUMN()-1=Sheet1!$AF$4, 32-ROW()=Sheet1!$AG$4), 0, MIN(R27, S27, T27, R28, T28, R29, S29, T29) + 1)))</f>
        <v>999</v>
      </c>
      <c r="T28">
        <f>IF(Sheet1!$AG$1=1, IF(AND(COLUMN()-1=Sheet1!$AF$4, 32-ROW()=Sheet1!$AG$4), 0, 999), IF(COUNTIFS(Sheet1!$AK$1:$AK$50, COLUMN()-1, Sheet1!$AL$1:$AL$50, 32-ROW())&gt;0, 999, IF(AND(COLUMN()-1=Sheet1!$AF$4, 32-ROW()=Sheet1!$AG$4), 0, MIN(S27, T27, U27, S28, U28, S29, T29, U29) + 1)))</f>
        <v>999</v>
      </c>
      <c r="U28">
        <f>IF(Sheet1!$AG$1=1, IF(AND(COLUMN()-1=Sheet1!$AF$4, 32-ROW()=Sheet1!$AG$4), 0, 999), IF(COUNTIFS(Sheet1!$AK$1:$AK$50, COLUMN()-1, Sheet1!$AL$1:$AL$50, 32-ROW())&gt;0, 999, IF(AND(COLUMN()-1=Sheet1!$AF$4, 32-ROW()=Sheet1!$AG$4), 0, MIN(T27, U27, V27, T28, V28, T29, U29, V29) + 1)))</f>
        <v>999</v>
      </c>
      <c r="V28">
        <f>IF(Sheet1!$AG$1=1, IF(AND(COLUMN()-1=Sheet1!$AF$4, 32-ROW()=Sheet1!$AG$4), 0, 999), IF(COUNTIFS(Sheet1!$AK$1:$AK$50, COLUMN()-1, Sheet1!$AL$1:$AL$50, 32-ROW())&gt;0, 999, IF(AND(COLUMN()-1=Sheet1!$AF$4, 32-ROW()=Sheet1!$AG$4), 0, MIN(U27, V27, W27, U28, W28, U29, V29, W29) + 1)))</f>
        <v>999</v>
      </c>
      <c r="W28">
        <f>IF(Sheet1!$AG$1=1, IF(AND(COLUMN()-1=Sheet1!$AF$4, 32-ROW()=Sheet1!$AG$4), 0, 999), IF(COUNTIFS(Sheet1!$AK$1:$AK$50, COLUMN()-1, Sheet1!$AL$1:$AL$50, 32-ROW())&gt;0, 999, IF(AND(COLUMN()-1=Sheet1!$AF$4, 32-ROW()=Sheet1!$AG$4), 0, MIN(V27, W27, X27, V28, X28, V29, W29, X29) + 1)))</f>
        <v>999</v>
      </c>
      <c r="X28">
        <f>IF(Sheet1!$AG$1=1, IF(AND(COLUMN()-1=Sheet1!$AF$4, 32-ROW()=Sheet1!$AG$4), 0, 999), IF(COUNTIFS(Sheet1!$AK$1:$AK$50, COLUMN()-1, Sheet1!$AL$1:$AL$50, 32-ROW())&gt;0, 999, IF(AND(COLUMN()-1=Sheet1!$AF$4, 32-ROW()=Sheet1!$AG$4), 0, MIN(W27, X27, Y27, W28, Y28, W29, X29, Y29) + 1)))</f>
        <v>999</v>
      </c>
      <c r="Y28">
        <f>IF(Sheet1!$AG$1=1, IF(AND(COLUMN()-1=Sheet1!$AF$4, 32-ROW()=Sheet1!$AG$4), 0, 999), IF(COUNTIFS(Sheet1!$AK$1:$AK$50, COLUMN()-1, Sheet1!$AL$1:$AL$50, 32-ROW())&gt;0, 999, IF(AND(COLUMN()-1=Sheet1!$AF$4, 32-ROW()=Sheet1!$AG$4), 0, MIN(X27, Y27, Z27, X28, Z28, X29, Y29, Z29) + 1)))</f>
        <v>999</v>
      </c>
      <c r="Z28">
        <f>IF(Sheet1!$AG$1=1, IF(AND(COLUMN()-1=Sheet1!$AF$4, 32-ROW()=Sheet1!$AG$4), 0, 999), IF(COUNTIFS(Sheet1!$AK$1:$AK$50, COLUMN()-1, Sheet1!$AL$1:$AL$50, 32-ROW())&gt;0, 999, IF(AND(COLUMN()-1=Sheet1!$AF$4, 32-ROW()=Sheet1!$AG$4), 0, MIN(Y27, Z27, AA27, Y28, AA28, Y29, Z29, AA29) + 1)))</f>
        <v>999</v>
      </c>
      <c r="AA28">
        <f>IF(Sheet1!$AG$1=1, IF(AND(COLUMN()-1=Sheet1!$AF$4, 32-ROW()=Sheet1!$AG$4), 0, 999), IF(COUNTIFS(Sheet1!$AK$1:$AK$50, COLUMN()-1, Sheet1!$AL$1:$AL$50, 32-ROW())&gt;0, 999, IF(AND(COLUMN()-1=Sheet1!$AF$4, 32-ROW()=Sheet1!$AG$4), 0, MIN(Z27, AA27, AB27, Z28, AB28, Z29, AA29, AB29) + 1)))</f>
        <v>999</v>
      </c>
      <c r="AB28">
        <f>IF(Sheet1!$AG$1=1, IF(AND(COLUMN()-1=Sheet1!$AF$4, 32-ROW()=Sheet1!$AG$4), 0, 999), IF(COUNTIFS(Sheet1!$AK$1:$AK$50, COLUMN()-1, Sheet1!$AL$1:$AL$50, 32-ROW())&gt;0, 999, IF(AND(COLUMN()-1=Sheet1!$AF$4, 32-ROW()=Sheet1!$AG$4), 0, MIN(AA27, AB27, AC27, AA28, AC28, AA29, AB29, AC29) + 1)))</f>
        <v>999</v>
      </c>
      <c r="AC28">
        <f>IF(Sheet1!$AG$1=1, IF(AND(COLUMN()-1=Sheet1!$AF$4, 32-ROW()=Sheet1!$AG$4), 0, 999), IF(COUNTIFS(Sheet1!$AK$1:$AK$50, COLUMN()-1, Sheet1!$AL$1:$AL$50, 32-ROW())&gt;0, 999, IF(AND(COLUMN()-1=Sheet1!$AF$4, 32-ROW()=Sheet1!$AG$4), 0, MIN(AB27, AC27, AD27, AB28, AD28, AB29, AC29, AD29) + 1)))</f>
        <v>999</v>
      </c>
      <c r="AD28">
        <f>IF(Sheet1!$AG$1=1, IF(AND(COLUMN()-1=Sheet1!$AF$4, 32-ROW()=Sheet1!$AG$4), 0, 999), IF(COUNTIFS(Sheet1!$AK$1:$AK$50, COLUMN()-1, Sheet1!$AL$1:$AL$50, 32-ROW())&gt;0, 999, IF(AND(COLUMN()-1=Sheet1!$AF$4, 32-ROW()=Sheet1!$AG$4), 0, MIN(AC27, AD27, AE27, AC28, AE28, AC29, AD29, AE29) + 1)))</f>
        <v>999</v>
      </c>
      <c r="AE28">
        <f>IF(Sheet1!$AG$1=1, IF(AND(COLUMN()-1=Sheet1!$AF$4, 32-ROW()=Sheet1!$AG$4), 0, 999), IF(COUNTIFS(Sheet1!$AK$1:$AK$50, COLUMN()-1, Sheet1!$AL$1:$AL$50, 32-ROW())&gt;0, 999, IF(AND(COLUMN()-1=Sheet1!$AF$4, 32-ROW()=Sheet1!$AG$4), 0, MIN(AD27, AE27, AF27, AD28, AF28, AD29, AE29, AF29) + 1)))</f>
        <v>999</v>
      </c>
      <c r="AF28">
        <v>999</v>
      </c>
    </row>
    <row r="29" spans="1:32">
      <c r="A29">
        <v>999</v>
      </c>
      <c r="B29">
        <f>IF(Sheet1!$AG$1=1, IF(AND(COLUMN()-1=Sheet1!$AF$4, 32-ROW()=Sheet1!$AG$4), 0, 999), IF(COUNTIFS(Sheet1!$AK$1:$AK$50, COLUMN()-1, Sheet1!$AL$1:$AL$50, 32-ROW())&gt;0, 999, IF(AND(COLUMN()-1=Sheet1!$AF$4, 32-ROW()=Sheet1!$AG$4), 0, MIN(A28, B28, C28, A29, C29, A30, B30, C30) + 1)))</f>
        <v>999</v>
      </c>
      <c r="C29">
        <f>IF(Sheet1!$AG$1=1, IF(AND(COLUMN()-1=Sheet1!$AF$4, 32-ROW()=Sheet1!$AG$4), 0, 999), IF(COUNTIFS(Sheet1!$AK$1:$AK$50, COLUMN()-1, Sheet1!$AL$1:$AL$50, 32-ROW())&gt;0, 999, IF(AND(COLUMN()-1=Sheet1!$AF$4, 32-ROW()=Sheet1!$AG$4), 0, MIN(B28, C28, D28, B29, D29, B30, C30, D30) + 1)))</f>
        <v>999</v>
      </c>
      <c r="D29">
        <f>IF(Sheet1!$AG$1=1, IF(AND(COLUMN()-1=Sheet1!$AF$4, 32-ROW()=Sheet1!$AG$4), 0, 999), IF(COUNTIFS(Sheet1!$AK$1:$AK$50, COLUMN()-1, Sheet1!$AL$1:$AL$50, 32-ROW())&gt;0, 999, IF(AND(COLUMN()-1=Sheet1!$AF$4, 32-ROW()=Sheet1!$AG$4), 0, MIN(C28, D28, E28, C29, E29, C30, D30, E30) + 1)))</f>
        <v>999</v>
      </c>
      <c r="E29">
        <f>IF(Sheet1!$AG$1=1, IF(AND(COLUMN()-1=Sheet1!$AF$4, 32-ROW()=Sheet1!$AG$4), 0, 999), IF(COUNTIFS(Sheet1!$AK$1:$AK$50, COLUMN()-1, Sheet1!$AL$1:$AL$50, 32-ROW())&gt;0, 999, IF(AND(COLUMN()-1=Sheet1!$AF$4, 32-ROW()=Sheet1!$AG$4), 0, MIN(D28, E28, F28, D29, F29, D30, E30, F30) + 1)))</f>
        <v>999</v>
      </c>
      <c r="F29">
        <f>IF(Sheet1!$AG$1=1, IF(AND(COLUMN()-1=Sheet1!$AF$4, 32-ROW()=Sheet1!$AG$4), 0, 999), IF(COUNTIFS(Sheet1!$AK$1:$AK$50, COLUMN()-1, Sheet1!$AL$1:$AL$50, 32-ROW())&gt;0, 999, IF(AND(COLUMN()-1=Sheet1!$AF$4, 32-ROW()=Sheet1!$AG$4), 0, MIN(E28, F28, G28, E29, G29, E30, F30, G30) + 1)))</f>
        <v>999</v>
      </c>
      <c r="G29">
        <f>IF(Sheet1!$AG$1=1, IF(AND(COLUMN()-1=Sheet1!$AF$4, 32-ROW()=Sheet1!$AG$4), 0, 999), IF(COUNTIFS(Sheet1!$AK$1:$AK$50, COLUMN()-1, Sheet1!$AL$1:$AL$50, 32-ROW())&gt;0, 999, IF(AND(COLUMN()-1=Sheet1!$AF$4, 32-ROW()=Sheet1!$AG$4), 0, MIN(F28, G28, H28, F29, H29, F30, G30, H30) + 1)))</f>
        <v>999</v>
      </c>
      <c r="H29">
        <f>IF(Sheet1!$AG$1=1, IF(AND(COLUMN()-1=Sheet1!$AF$4, 32-ROW()=Sheet1!$AG$4), 0, 999), IF(COUNTIFS(Sheet1!$AK$1:$AK$50, COLUMN()-1, Sheet1!$AL$1:$AL$50, 32-ROW())&gt;0, 999, IF(AND(COLUMN()-1=Sheet1!$AF$4, 32-ROW()=Sheet1!$AG$4), 0, MIN(G28, H28, I28, G29, I29, G30, H30, I30) + 1)))</f>
        <v>999</v>
      </c>
      <c r="I29">
        <f>IF(Sheet1!$AG$1=1, IF(AND(COLUMN()-1=Sheet1!$AF$4, 32-ROW()=Sheet1!$AG$4), 0, 999), IF(COUNTIFS(Sheet1!$AK$1:$AK$50, COLUMN()-1, Sheet1!$AL$1:$AL$50, 32-ROW())&gt;0, 999, IF(AND(COLUMN()-1=Sheet1!$AF$4, 32-ROW()=Sheet1!$AG$4), 0, MIN(H28, I28, J28, H29, J29, H30, I30, J30) + 1)))</f>
        <v>999</v>
      </c>
      <c r="J29">
        <f>IF(Sheet1!$AG$1=1, IF(AND(COLUMN()-1=Sheet1!$AF$4, 32-ROW()=Sheet1!$AG$4), 0, 999), IF(COUNTIFS(Sheet1!$AK$1:$AK$50, COLUMN()-1, Sheet1!$AL$1:$AL$50, 32-ROW())&gt;0, 999, IF(AND(COLUMN()-1=Sheet1!$AF$4, 32-ROW()=Sheet1!$AG$4), 0, MIN(I28, J28, K28, I29, K29, I30, J30, K30) + 1)))</f>
        <v>999</v>
      </c>
      <c r="K29">
        <f>IF(Sheet1!$AG$1=1, IF(AND(COLUMN()-1=Sheet1!$AF$4, 32-ROW()=Sheet1!$AG$4), 0, 999), IF(COUNTIFS(Sheet1!$AK$1:$AK$50, COLUMN()-1, Sheet1!$AL$1:$AL$50, 32-ROW())&gt;0, 999, IF(AND(COLUMN()-1=Sheet1!$AF$4, 32-ROW()=Sheet1!$AG$4), 0, MIN(J28, K28, L28, J29, L29, J30, K30, L30) + 1)))</f>
        <v>999</v>
      </c>
      <c r="L29">
        <f>IF(Sheet1!$AG$1=1, IF(AND(COLUMN()-1=Sheet1!$AF$4, 32-ROW()=Sheet1!$AG$4), 0, 999), IF(COUNTIFS(Sheet1!$AK$1:$AK$50, COLUMN()-1, Sheet1!$AL$1:$AL$50, 32-ROW())&gt;0, 999, IF(AND(COLUMN()-1=Sheet1!$AF$4, 32-ROW()=Sheet1!$AG$4), 0, MIN(K28, L28, M28, K29, M29, K30, L30, M30) + 1)))</f>
        <v>999</v>
      </c>
      <c r="M29">
        <f>IF(Sheet1!$AG$1=1, IF(AND(COLUMN()-1=Sheet1!$AF$4, 32-ROW()=Sheet1!$AG$4), 0, 999), IF(COUNTIFS(Sheet1!$AK$1:$AK$50, COLUMN()-1, Sheet1!$AL$1:$AL$50, 32-ROW())&gt;0, 999, IF(AND(COLUMN()-1=Sheet1!$AF$4, 32-ROW()=Sheet1!$AG$4), 0, MIN(L28, M28, N28, L29, N29, L30, M30, N30) + 1)))</f>
        <v>999</v>
      </c>
      <c r="N29">
        <f>IF(Sheet1!$AG$1=1, IF(AND(COLUMN()-1=Sheet1!$AF$4, 32-ROW()=Sheet1!$AG$4), 0, 999), IF(COUNTIFS(Sheet1!$AK$1:$AK$50, COLUMN()-1, Sheet1!$AL$1:$AL$50, 32-ROW())&gt;0, 999, IF(AND(COLUMN()-1=Sheet1!$AF$4, 32-ROW()=Sheet1!$AG$4), 0, MIN(M28, N28, O28, M29, O29, M30, N30, O30) + 1)))</f>
        <v>999</v>
      </c>
      <c r="O29">
        <f>IF(Sheet1!$AG$1=1, IF(AND(COLUMN()-1=Sheet1!$AF$4, 32-ROW()=Sheet1!$AG$4), 0, 999), IF(COUNTIFS(Sheet1!$AK$1:$AK$50, COLUMN()-1, Sheet1!$AL$1:$AL$50, 32-ROW())&gt;0, 999, IF(AND(COLUMN()-1=Sheet1!$AF$4, 32-ROW()=Sheet1!$AG$4), 0, MIN(N28, O28, P28, N29, P29, N30, O30, P30) + 1)))</f>
        <v>999</v>
      </c>
      <c r="P29">
        <f>IF(Sheet1!$AG$1=1, IF(AND(COLUMN()-1=Sheet1!$AF$4, 32-ROW()=Sheet1!$AG$4), 0, 999), IF(COUNTIFS(Sheet1!$AK$1:$AK$50, COLUMN()-1, Sheet1!$AL$1:$AL$50, 32-ROW())&gt;0, 999, IF(AND(COLUMN()-1=Sheet1!$AF$4, 32-ROW()=Sheet1!$AG$4), 0, MIN(O28, P28, Q28, O29, Q29, O30, P30, Q30) + 1)))</f>
        <v>999</v>
      </c>
      <c r="Q29">
        <f>IF(Sheet1!$AG$1=1, IF(AND(COLUMN()-1=Sheet1!$AF$4, 32-ROW()=Sheet1!$AG$4), 0, 999), IF(COUNTIFS(Sheet1!$AK$1:$AK$50, COLUMN()-1, Sheet1!$AL$1:$AL$50, 32-ROW())&gt;0, 999, IF(AND(COLUMN()-1=Sheet1!$AF$4, 32-ROW()=Sheet1!$AG$4), 0, MIN(P28, Q28, R28, P29, R29, P30, Q30, R30) + 1)))</f>
        <v>999</v>
      </c>
      <c r="R29">
        <f>IF(Sheet1!$AG$1=1, IF(AND(COLUMN()-1=Sheet1!$AF$4, 32-ROW()=Sheet1!$AG$4), 0, 999), IF(COUNTIFS(Sheet1!$AK$1:$AK$50, COLUMN()-1, Sheet1!$AL$1:$AL$50, 32-ROW())&gt;0, 999, IF(AND(COLUMN()-1=Sheet1!$AF$4, 32-ROW()=Sheet1!$AG$4), 0, MIN(Q28, R28, S28, Q29, S29, Q30, R30, S30) + 1)))</f>
        <v>999</v>
      </c>
      <c r="S29">
        <f>IF(Sheet1!$AG$1=1, IF(AND(COLUMN()-1=Sheet1!$AF$4, 32-ROW()=Sheet1!$AG$4), 0, 999), IF(COUNTIFS(Sheet1!$AK$1:$AK$50, COLUMN()-1, Sheet1!$AL$1:$AL$50, 32-ROW())&gt;0, 999, IF(AND(COLUMN()-1=Sheet1!$AF$4, 32-ROW()=Sheet1!$AG$4), 0, MIN(R28, S28, T28, R29, T29, R30, S30, T30) + 1)))</f>
        <v>999</v>
      </c>
      <c r="T29">
        <f>IF(Sheet1!$AG$1=1, IF(AND(COLUMN()-1=Sheet1!$AF$4, 32-ROW()=Sheet1!$AG$4), 0, 999), IF(COUNTIFS(Sheet1!$AK$1:$AK$50, COLUMN()-1, Sheet1!$AL$1:$AL$50, 32-ROW())&gt;0, 999, IF(AND(COLUMN()-1=Sheet1!$AF$4, 32-ROW()=Sheet1!$AG$4), 0, MIN(S28, T28, U28, S29, U29, S30, T30, U30) + 1)))</f>
        <v>999</v>
      </c>
      <c r="U29">
        <f>IF(Sheet1!$AG$1=1, IF(AND(COLUMN()-1=Sheet1!$AF$4, 32-ROW()=Sheet1!$AG$4), 0, 999), IF(COUNTIFS(Sheet1!$AK$1:$AK$50, COLUMN()-1, Sheet1!$AL$1:$AL$50, 32-ROW())&gt;0, 999, IF(AND(COLUMN()-1=Sheet1!$AF$4, 32-ROW()=Sheet1!$AG$4), 0, MIN(T28, U28, V28, T29, V29, T30, U30, V30) + 1)))</f>
        <v>999</v>
      </c>
      <c r="V29">
        <f>IF(Sheet1!$AG$1=1, IF(AND(COLUMN()-1=Sheet1!$AF$4, 32-ROW()=Sheet1!$AG$4), 0, 999), IF(COUNTIFS(Sheet1!$AK$1:$AK$50, COLUMN()-1, Sheet1!$AL$1:$AL$50, 32-ROW())&gt;0, 999, IF(AND(COLUMN()-1=Sheet1!$AF$4, 32-ROW()=Sheet1!$AG$4), 0, MIN(U28, V28, W28, U29, W29, U30, V30, W30) + 1)))</f>
        <v>999</v>
      </c>
      <c r="W29">
        <f>IF(Sheet1!$AG$1=1, IF(AND(COLUMN()-1=Sheet1!$AF$4, 32-ROW()=Sheet1!$AG$4), 0, 999), IF(COUNTIFS(Sheet1!$AK$1:$AK$50, COLUMN()-1, Sheet1!$AL$1:$AL$50, 32-ROW())&gt;0, 999, IF(AND(COLUMN()-1=Sheet1!$AF$4, 32-ROW()=Sheet1!$AG$4), 0, MIN(V28, W28, X28, V29, X29, V30, W30, X30) + 1)))</f>
        <v>999</v>
      </c>
      <c r="X29">
        <f>IF(Sheet1!$AG$1=1, IF(AND(COLUMN()-1=Sheet1!$AF$4, 32-ROW()=Sheet1!$AG$4), 0, 999), IF(COUNTIFS(Sheet1!$AK$1:$AK$50, COLUMN()-1, Sheet1!$AL$1:$AL$50, 32-ROW())&gt;0, 999, IF(AND(COLUMN()-1=Sheet1!$AF$4, 32-ROW()=Sheet1!$AG$4), 0, MIN(W28, X28, Y28, W29, Y29, W30, X30, Y30) + 1)))</f>
        <v>999</v>
      </c>
      <c r="Y29">
        <f>IF(Sheet1!$AG$1=1, IF(AND(COLUMN()-1=Sheet1!$AF$4, 32-ROW()=Sheet1!$AG$4), 0, 999), IF(COUNTIFS(Sheet1!$AK$1:$AK$50, COLUMN()-1, Sheet1!$AL$1:$AL$50, 32-ROW())&gt;0, 999, IF(AND(COLUMN()-1=Sheet1!$AF$4, 32-ROW()=Sheet1!$AG$4), 0, MIN(X28, Y28, Z28, X29, Z29, X30, Y30, Z30) + 1)))</f>
        <v>999</v>
      </c>
      <c r="Z29">
        <f>IF(Sheet1!$AG$1=1, IF(AND(COLUMN()-1=Sheet1!$AF$4, 32-ROW()=Sheet1!$AG$4), 0, 999), IF(COUNTIFS(Sheet1!$AK$1:$AK$50, COLUMN()-1, Sheet1!$AL$1:$AL$50, 32-ROW())&gt;0, 999, IF(AND(COLUMN()-1=Sheet1!$AF$4, 32-ROW()=Sheet1!$AG$4), 0, MIN(Y28, Z28, AA28, Y29, AA29, Y30, Z30, AA30) + 1)))</f>
        <v>999</v>
      </c>
      <c r="AA29">
        <f>IF(Sheet1!$AG$1=1, IF(AND(COLUMN()-1=Sheet1!$AF$4, 32-ROW()=Sheet1!$AG$4), 0, 999), IF(COUNTIFS(Sheet1!$AK$1:$AK$50, COLUMN()-1, Sheet1!$AL$1:$AL$50, 32-ROW())&gt;0, 999, IF(AND(COLUMN()-1=Sheet1!$AF$4, 32-ROW()=Sheet1!$AG$4), 0, MIN(Z28, AA28, AB28, Z29, AB29, Z30, AA30, AB30) + 1)))</f>
        <v>999</v>
      </c>
      <c r="AB29">
        <f>IF(Sheet1!$AG$1=1, IF(AND(COLUMN()-1=Sheet1!$AF$4, 32-ROW()=Sheet1!$AG$4), 0, 999), IF(COUNTIFS(Sheet1!$AK$1:$AK$50, COLUMN()-1, Sheet1!$AL$1:$AL$50, 32-ROW())&gt;0, 999, IF(AND(COLUMN()-1=Sheet1!$AF$4, 32-ROW()=Sheet1!$AG$4), 0, MIN(AA28, AB28, AC28, AA29, AC29, AA30, AB30, AC30) + 1)))</f>
        <v>999</v>
      </c>
      <c r="AC29">
        <f>IF(Sheet1!$AG$1=1, IF(AND(COLUMN()-1=Sheet1!$AF$4, 32-ROW()=Sheet1!$AG$4), 0, 999), IF(COUNTIFS(Sheet1!$AK$1:$AK$50, COLUMN()-1, Sheet1!$AL$1:$AL$50, 32-ROW())&gt;0, 999, IF(AND(COLUMN()-1=Sheet1!$AF$4, 32-ROW()=Sheet1!$AG$4), 0, MIN(AB28, AC28, AD28, AB29, AD29, AB30, AC30, AD30) + 1)))</f>
        <v>999</v>
      </c>
      <c r="AD29">
        <f>IF(Sheet1!$AG$1=1, IF(AND(COLUMN()-1=Sheet1!$AF$4, 32-ROW()=Sheet1!$AG$4), 0, 999), IF(COUNTIFS(Sheet1!$AK$1:$AK$50, COLUMN()-1, Sheet1!$AL$1:$AL$50, 32-ROW())&gt;0, 999, IF(AND(COLUMN()-1=Sheet1!$AF$4, 32-ROW()=Sheet1!$AG$4), 0, MIN(AC28, AD28, AE28, AC29, AE29, AC30, AD30, AE30) + 1)))</f>
        <v>999</v>
      </c>
      <c r="AE29">
        <f>IF(Sheet1!$AG$1=1, IF(AND(COLUMN()-1=Sheet1!$AF$4, 32-ROW()=Sheet1!$AG$4), 0, 999), IF(COUNTIFS(Sheet1!$AK$1:$AK$50, COLUMN()-1, Sheet1!$AL$1:$AL$50, 32-ROW())&gt;0, 999, IF(AND(COLUMN()-1=Sheet1!$AF$4, 32-ROW()=Sheet1!$AG$4), 0, MIN(AD28, AE28, AF28, AD29, AF29, AD30, AE30, AF30) + 1)))</f>
        <v>999</v>
      </c>
      <c r="AF29">
        <v>999</v>
      </c>
    </row>
    <row r="30" spans="1:32">
      <c r="A30">
        <v>999</v>
      </c>
      <c r="B30">
        <f>IF(Sheet1!$AG$1=1, IF(AND(COLUMN()-1=Sheet1!$AF$4, 32-ROW()=Sheet1!$AG$4), 0, 999), IF(COUNTIFS(Sheet1!$AK$1:$AK$50, COLUMN()-1, Sheet1!$AL$1:$AL$50, 32-ROW())&gt;0, 999, IF(AND(COLUMN()-1=Sheet1!$AF$4, 32-ROW()=Sheet1!$AG$4), 0, MIN(A29, B29, C29, A30, C30, A31, B31, C31) + 1)))</f>
        <v>999</v>
      </c>
      <c r="C30">
        <f>IF(Sheet1!$AG$1=1, IF(AND(COLUMN()-1=Sheet1!$AF$4, 32-ROW()=Sheet1!$AG$4), 0, 999), IF(COUNTIFS(Sheet1!$AK$1:$AK$50, COLUMN()-1, Sheet1!$AL$1:$AL$50, 32-ROW())&gt;0, 999, IF(AND(COLUMN()-1=Sheet1!$AF$4, 32-ROW()=Sheet1!$AG$4), 0, MIN(B29, C29, D29, B30, D30, B31, C31, D31) + 1)))</f>
        <v>999</v>
      </c>
      <c r="D30">
        <f>IF(Sheet1!$AG$1=1, IF(AND(COLUMN()-1=Sheet1!$AF$4, 32-ROW()=Sheet1!$AG$4), 0, 999), IF(COUNTIFS(Sheet1!$AK$1:$AK$50, COLUMN()-1, Sheet1!$AL$1:$AL$50, 32-ROW())&gt;0, 999, IF(AND(COLUMN()-1=Sheet1!$AF$4, 32-ROW()=Sheet1!$AG$4), 0, MIN(C29, D29, E29, C30, E30, C31, D31, E31) + 1)))</f>
        <v>999</v>
      </c>
      <c r="E30">
        <f>IF(Sheet1!$AG$1=1, IF(AND(COLUMN()-1=Sheet1!$AF$4, 32-ROW()=Sheet1!$AG$4), 0, 999), IF(COUNTIFS(Sheet1!$AK$1:$AK$50, COLUMN()-1, Sheet1!$AL$1:$AL$50, 32-ROW())&gt;0, 999, IF(AND(COLUMN()-1=Sheet1!$AF$4, 32-ROW()=Sheet1!$AG$4), 0, MIN(D29, E29, F29, D30, F30, D31, E31, F31) + 1)))</f>
        <v>999</v>
      </c>
      <c r="F30">
        <f>IF(Sheet1!$AG$1=1, IF(AND(COLUMN()-1=Sheet1!$AF$4, 32-ROW()=Sheet1!$AG$4), 0, 999), IF(COUNTIFS(Sheet1!$AK$1:$AK$50, COLUMN()-1, Sheet1!$AL$1:$AL$50, 32-ROW())&gt;0, 999, IF(AND(COLUMN()-1=Sheet1!$AF$4, 32-ROW()=Sheet1!$AG$4), 0, MIN(E29, F29, G29, E30, G30, E31, F31, G31) + 1)))</f>
        <v>999</v>
      </c>
      <c r="G30">
        <f>IF(Sheet1!$AG$1=1, IF(AND(COLUMN()-1=Sheet1!$AF$4, 32-ROW()=Sheet1!$AG$4), 0, 999), IF(COUNTIFS(Sheet1!$AK$1:$AK$50, COLUMN()-1, Sheet1!$AL$1:$AL$50, 32-ROW())&gt;0, 999, IF(AND(COLUMN()-1=Sheet1!$AF$4, 32-ROW()=Sheet1!$AG$4), 0, MIN(F29, G29, H29, F30, H30, F31, G31, H31) + 1)))</f>
        <v>999</v>
      </c>
      <c r="H30">
        <f>IF(Sheet1!$AG$1=1, IF(AND(COLUMN()-1=Sheet1!$AF$4, 32-ROW()=Sheet1!$AG$4), 0, 999), IF(COUNTIFS(Sheet1!$AK$1:$AK$50, COLUMN()-1, Sheet1!$AL$1:$AL$50, 32-ROW())&gt;0, 999, IF(AND(COLUMN()-1=Sheet1!$AF$4, 32-ROW()=Sheet1!$AG$4), 0, MIN(G29, H29, I29, G30, I30, G31, H31, I31) + 1)))</f>
        <v>999</v>
      </c>
      <c r="I30">
        <f>IF(Sheet1!$AG$1=1, IF(AND(COLUMN()-1=Sheet1!$AF$4, 32-ROW()=Sheet1!$AG$4), 0, 999), IF(COUNTIFS(Sheet1!$AK$1:$AK$50, COLUMN()-1, Sheet1!$AL$1:$AL$50, 32-ROW())&gt;0, 999, IF(AND(COLUMN()-1=Sheet1!$AF$4, 32-ROW()=Sheet1!$AG$4), 0, MIN(H29, I29, J29, H30, J30, H31, I31, J31) + 1)))</f>
        <v>999</v>
      </c>
      <c r="J30">
        <f>IF(Sheet1!$AG$1=1, IF(AND(COLUMN()-1=Sheet1!$AF$4, 32-ROW()=Sheet1!$AG$4), 0, 999), IF(COUNTIFS(Sheet1!$AK$1:$AK$50, COLUMN()-1, Sheet1!$AL$1:$AL$50, 32-ROW())&gt;0, 999, IF(AND(COLUMN()-1=Sheet1!$AF$4, 32-ROW()=Sheet1!$AG$4), 0, MIN(I29, J29, K29, I30, K30, I31, J31, K31) + 1)))</f>
        <v>999</v>
      </c>
      <c r="K30">
        <f>IF(Sheet1!$AG$1=1, IF(AND(COLUMN()-1=Sheet1!$AF$4, 32-ROW()=Sheet1!$AG$4), 0, 999), IF(COUNTIFS(Sheet1!$AK$1:$AK$50, COLUMN()-1, Sheet1!$AL$1:$AL$50, 32-ROW())&gt;0, 999, IF(AND(COLUMN()-1=Sheet1!$AF$4, 32-ROW()=Sheet1!$AG$4), 0, MIN(J29, K29, L29, J30, L30, J31, K31, L31) + 1)))</f>
        <v>999</v>
      </c>
      <c r="L30">
        <f>IF(Sheet1!$AG$1=1, IF(AND(COLUMN()-1=Sheet1!$AF$4, 32-ROW()=Sheet1!$AG$4), 0, 999), IF(COUNTIFS(Sheet1!$AK$1:$AK$50, COLUMN()-1, Sheet1!$AL$1:$AL$50, 32-ROW())&gt;0, 999, IF(AND(COLUMN()-1=Sheet1!$AF$4, 32-ROW()=Sheet1!$AG$4), 0, MIN(K29, L29, M29, K30, M30, K31, L31, M31) + 1)))</f>
        <v>999</v>
      </c>
      <c r="M30">
        <f>IF(Sheet1!$AG$1=1, IF(AND(COLUMN()-1=Sheet1!$AF$4, 32-ROW()=Sheet1!$AG$4), 0, 999), IF(COUNTIFS(Sheet1!$AK$1:$AK$50, COLUMN()-1, Sheet1!$AL$1:$AL$50, 32-ROW())&gt;0, 999, IF(AND(COLUMN()-1=Sheet1!$AF$4, 32-ROW()=Sheet1!$AG$4), 0, MIN(L29, M29, N29, L30, N30, L31, M31, N31) + 1)))</f>
        <v>999</v>
      </c>
      <c r="N30">
        <f>IF(Sheet1!$AG$1=1, IF(AND(COLUMN()-1=Sheet1!$AF$4, 32-ROW()=Sheet1!$AG$4), 0, 999), IF(COUNTIFS(Sheet1!$AK$1:$AK$50, COLUMN()-1, Sheet1!$AL$1:$AL$50, 32-ROW())&gt;0, 999, IF(AND(COLUMN()-1=Sheet1!$AF$4, 32-ROW()=Sheet1!$AG$4), 0, MIN(M29, N29, O29, M30, O30, M31, N31, O31) + 1)))</f>
        <v>999</v>
      </c>
      <c r="O30">
        <f>IF(Sheet1!$AG$1=1, IF(AND(COLUMN()-1=Sheet1!$AF$4, 32-ROW()=Sheet1!$AG$4), 0, 999), IF(COUNTIFS(Sheet1!$AK$1:$AK$50, COLUMN()-1, Sheet1!$AL$1:$AL$50, 32-ROW())&gt;0, 999, IF(AND(COLUMN()-1=Sheet1!$AF$4, 32-ROW()=Sheet1!$AG$4), 0, MIN(N29, O29, P29, N30, P30, N31, O31, P31) + 1)))</f>
        <v>999</v>
      </c>
      <c r="P30">
        <f>IF(Sheet1!$AG$1=1, IF(AND(COLUMN()-1=Sheet1!$AF$4, 32-ROW()=Sheet1!$AG$4), 0, 999), IF(COUNTIFS(Sheet1!$AK$1:$AK$50, COLUMN()-1, Sheet1!$AL$1:$AL$50, 32-ROW())&gt;0, 999, IF(AND(COLUMN()-1=Sheet1!$AF$4, 32-ROW()=Sheet1!$AG$4), 0, MIN(O29, P29, Q29, O30, Q30, O31, P31, Q31) + 1)))</f>
        <v>999</v>
      </c>
      <c r="Q30">
        <f>IF(Sheet1!$AG$1=1, IF(AND(COLUMN()-1=Sheet1!$AF$4, 32-ROW()=Sheet1!$AG$4), 0, 999), IF(COUNTIFS(Sheet1!$AK$1:$AK$50, COLUMN()-1, Sheet1!$AL$1:$AL$50, 32-ROW())&gt;0, 999, IF(AND(COLUMN()-1=Sheet1!$AF$4, 32-ROW()=Sheet1!$AG$4), 0, MIN(P29, Q29, R29, P30, R30, P31, Q31, R31) + 1)))</f>
        <v>999</v>
      </c>
      <c r="R30">
        <f>IF(Sheet1!$AG$1=1, IF(AND(COLUMN()-1=Sheet1!$AF$4, 32-ROW()=Sheet1!$AG$4), 0, 999), IF(COUNTIFS(Sheet1!$AK$1:$AK$50, COLUMN()-1, Sheet1!$AL$1:$AL$50, 32-ROW())&gt;0, 999, IF(AND(COLUMN()-1=Sheet1!$AF$4, 32-ROW()=Sheet1!$AG$4), 0, MIN(Q29, R29, S29, Q30, S30, Q31, R31, S31) + 1)))</f>
        <v>999</v>
      </c>
      <c r="S30">
        <f>IF(Sheet1!$AG$1=1, IF(AND(COLUMN()-1=Sheet1!$AF$4, 32-ROW()=Sheet1!$AG$4), 0, 999), IF(COUNTIFS(Sheet1!$AK$1:$AK$50, COLUMN()-1, Sheet1!$AL$1:$AL$50, 32-ROW())&gt;0, 999, IF(AND(COLUMN()-1=Sheet1!$AF$4, 32-ROW()=Sheet1!$AG$4), 0, MIN(R29, S29, T29, R30, T30, R31, S31, T31) + 1)))</f>
        <v>999</v>
      </c>
      <c r="T30">
        <f>IF(Sheet1!$AG$1=1, IF(AND(COLUMN()-1=Sheet1!$AF$4, 32-ROW()=Sheet1!$AG$4), 0, 999), IF(COUNTIFS(Sheet1!$AK$1:$AK$50, COLUMN()-1, Sheet1!$AL$1:$AL$50, 32-ROW())&gt;0, 999, IF(AND(COLUMN()-1=Sheet1!$AF$4, 32-ROW()=Sheet1!$AG$4), 0, MIN(S29, T29, U29, S30, U30, S31, T31, U31) + 1)))</f>
        <v>999</v>
      </c>
      <c r="U30">
        <f>IF(Sheet1!$AG$1=1, IF(AND(COLUMN()-1=Sheet1!$AF$4, 32-ROW()=Sheet1!$AG$4), 0, 999), IF(COUNTIFS(Sheet1!$AK$1:$AK$50, COLUMN()-1, Sheet1!$AL$1:$AL$50, 32-ROW())&gt;0, 999, IF(AND(COLUMN()-1=Sheet1!$AF$4, 32-ROW()=Sheet1!$AG$4), 0, MIN(T29, U29, V29, T30, V30, T31, U31, V31) + 1)))</f>
        <v>999</v>
      </c>
      <c r="V30">
        <f>IF(Sheet1!$AG$1=1, IF(AND(COLUMN()-1=Sheet1!$AF$4, 32-ROW()=Sheet1!$AG$4), 0, 999), IF(COUNTIFS(Sheet1!$AK$1:$AK$50, COLUMN()-1, Sheet1!$AL$1:$AL$50, 32-ROW())&gt;0, 999, IF(AND(COLUMN()-1=Sheet1!$AF$4, 32-ROW()=Sheet1!$AG$4), 0, MIN(U29, V29, W29, U30, W30, U31, V31, W31) + 1)))</f>
        <v>999</v>
      </c>
      <c r="W30">
        <f>IF(Sheet1!$AG$1=1, IF(AND(COLUMN()-1=Sheet1!$AF$4, 32-ROW()=Sheet1!$AG$4), 0, 999), IF(COUNTIFS(Sheet1!$AK$1:$AK$50, COLUMN()-1, Sheet1!$AL$1:$AL$50, 32-ROW())&gt;0, 999, IF(AND(COLUMN()-1=Sheet1!$AF$4, 32-ROW()=Sheet1!$AG$4), 0, MIN(V29, W29, X29, V30, X30, V31, W31, X31) + 1)))</f>
        <v>999</v>
      </c>
      <c r="X30">
        <f>IF(Sheet1!$AG$1=1, IF(AND(COLUMN()-1=Sheet1!$AF$4, 32-ROW()=Sheet1!$AG$4), 0, 999), IF(COUNTIFS(Sheet1!$AK$1:$AK$50, COLUMN()-1, Sheet1!$AL$1:$AL$50, 32-ROW())&gt;0, 999, IF(AND(COLUMN()-1=Sheet1!$AF$4, 32-ROW()=Sheet1!$AG$4), 0, MIN(W29, X29, Y29, W30, Y30, W31, X31, Y31) + 1)))</f>
        <v>999</v>
      </c>
      <c r="Y30">
        <f>IF(Sheet1!$AG$1=1, IF(AND(COLUMN()-1=Sheet1!$AF$4, 32-ROW()=Sheet1!$AG$4), 0, 999), IF(COUNTIFS(Sheet1!$AK$1:$AK$50, COLUMN()-1, Sheet1!$AL$1:$AL$50, 32-ROW())&gt;0, 999, IF(AND(COLUMN()-1=Sheet1!$AF$4, 32-ROW()=Sheet1!$AG$4), 0, MIN(X29, Y29, Z29, X30, Z30, X31, Y31, Z31) + 1)))</f>
        <v>999</v>
      </c>
      <c r="Z30">
        <f>IF(Sheet1!$AG$1=1, IF(AND(COLUMN()-1=Sheet1!$AF$4, 32-ROW()=Sheet1!$AG$4), 0, 999), IF(COUNTIFS(Sheet1!$AK$1:$AK$50, COLUMN()-1, Sheet1!$AL$1:$AL$50, 32-ROW())&gt;0, 999, IF(AND(COLUMN()-1=Sheet1!$AF$4, 32-ROW()=Sheet1!$AG$4), 0, MIN(Y29, Z29, AA29, Y30, AA30, Y31, Z31, AA31) + 1)))</f>
        <v>999</v>
      </c>
      <c r="AA30">
        <f>IF(Sheet1!$AG$1=1, IF(AND(COLUMN()-1=Sheet1!$AF$4, 32-ROW()=Sheet1!$AG$4), 0, 999), IF(COUNTIFS(Sheet1!$AK$1:$AK$50, COLUMN()-1, Sheet1!$AL$1:$AL$50, 32-ROW())&gt;0, 999, IF(AND(COLUMN()-1=Sheet1!$AF$4, 32-ROW()=Sheet1!$AG$4), 0, MIN(Z29, AA29, AB29, Z30, AB30, Z31, AA31, AB31) + 1)))</f>
        <v>999</v>
      </c>
      <c r="AB30">
        <f>IF(Sheet1!$AG$1=1, IF(AND(COLUMN()-1=Sheet1!$AF$4, 32-ROW()=Sheet1!$AG$4), 0, 999), IF(COUNTIFS(Sheet1!$AK$1:$AK$50, COLUMN()-1, Sheet1!$AL$1:$AL$50, 32-ROW())&gt;0, 999, IF(AND(COLUMN()-1=Sheet1!$AF$4, 32-ROW()=Sheet1!$AG$4), 0, MIN(AA29, AB29, AC29, AA30, AC30, AA31, AB31, AC31) + 1)))</f>
        <v>999</v>
      </c>
      <c r="AC30">
        <f>IF(Sheet1!$AG$1=1, IF(AND(COLUMN()-1=Sheet1!$AF$4, 32-ROW()=Sheet1!$AG$4), 0, 999), IF(COUNTIFS(Sheet1!$AK$1:$AK$50, COLUMN()-1, Sheet1!$AL$1:$AL$50, 32-ROW())&gt;0, 999, IF(AND(COLUMN()-1=Sheet1!$AF$4, 32-ROW()=Sheet1!$AG$4), 0, MIN(AB29, AC29, AD29, AB30, AD30, AB31, AC31, AD31) + 1)))</f>
        <v>999</v>
      </c>
      <c r="AD30">
        <f>IF(Sheet1!$AG$1=1, IF(AND(COLUMN()-1=Sheet1!$AF$4, 32-ROW()=Sheet1!$AG$4), 0, 999), IF(COUNTIFS(Sheet1!$AK$1:$AK$50, COLUMN()-1, Sheet1!$AL$1:$AL$50, 32-ROW())&gt;0, 999, IF(AND(COLUMN()-1=Sheet1!$AF$4, 32-ROW()=Sheet1!$AG$4), 0, MIN(AC29, AD29, AE29, AC30, AE30, AC31, AD31, AE31) + 1)))</f>
        <v>999</v>
      </c>
      <c r="AE30">
        <f>IF(Sheet1!$AG$1=1, IF(AND(COLUMN()-1=Sheet1!$AF$4, 32-ROW()=Sheet1!$AG$4), 0, 999), IF(COUNTIFS(Sheet1!$AK$1:$AK$50, COLUMN()-1, Sheet1!$AL$1:$AL$50, 32-ROW())&gt;0, 999, IF(AND(COLUMN()-1=Sheet1!$AF$4, 32-ROW()=Sheet1!$AG$4), 0, MIN(AD29, AE29, AF29, AD30, AF30, AD31, AE31, AF31) + 1)))</f>
        <v>999</v>
      </c>
      <c r="AF30">
        <v>999</v>
      </c>
    </row>
    <row r="31" spans="1:32">
      <c r="A31">
        <v>999</v>
      </c>
      <c r="B31">
        <f>IF(Sheet1!$AG$1=1, IF(AND(COLUMN()-1=Sheet1!$AF$4, 32-ROW()=Sheet1!$AG$4), 0, 999), IF(COUNTIFS(Sheet1!$AK$1:$AK$50, COLUMN()-1, Sheet1!$AL$1:$AL$50, 32-ROW())&gt;0, 999, IF(AND(COLUMN()-1=Sheet1!$AF$4, 32-ROW()=Sheet1!$AG$4), 0, MIN(A30, B30, C30, A31, C31, A32, B32, C32) + 1)))</f>
        <v>999</v>
      </c>
      <c r="C31">
        <f>IF(Sheet1!$AG$1=1, IF(AND(COLUMN()-1=Sheet1!$AF$4, 32-ROW()=Sheet1!$AG$4), 0, 999), IF(COUNTIFS(Sheet1!$AK$1:$AK$50, COLUMN()-1, Sheet1!$AL$1:$AL$50, 32-ROW())&gt;0, 999, IF(AND(COLUMN()-1=Sheet1!$AF$4, 32-ROW()=Sheet1!$AG$4), 0, MIN(B30, C30, D30, B31, D31, B32, C32, D32) + 1)))</f>
        <v>999</v>
      </c>
      <c r="D31">
        <f>IF(Sheet1!$AG$1=1, IF(AND(COLUMN()-1=Sheet1!$AF$4, 32-ROW()=Sheet1!$AG$4), 0, 999), IF(COUNTIFS(Sheet1!$AK$1:$AK$50, COLUMN()-1, Sheet1!$AL$1:$AL$50, 32-ROW())&gt;0, 999, IF(AND(COLUMN()-1=Sheet1!$AF$4, 32-ROW()=Sheet1!$AG$4), 0, MIN(C30, D30, E30, C31, E31, C32, D32, E32) + 1)))</f>
        <v>999</v>
      </c>
      <c r="E31">
        <f>IF(Sheet1!$AG$1=1, IF(AND(COLUMN()-1=Sheet1!$AF$4, 32-ROW()=Sheet1!$AG$4), 0, 999), IF(COUNTIFS(Sheet1!$AK$1:$AK$50, COLUMN()-1, Sheet1!$AL$1:$AL$50, 32-ROW())&gt;0, 999, IF(AND(COLUMN()-1=Sheet1!$AF$4, 32-ROW()=Sheet1!$AG$4), 0, MIN(D30, E30, F30, D31, F31, D32, E32, F32) + 1)))</f>
        <v>999</v>
      </c>
      <c r="F31">
        <f>IF(Sheet1!$AG$1=1, IF(AND(COLUMN()-1=Sheet1!$AF$4, 32-ROW()=Sheet1!$AG$4), 0, 999), IF(COUNTIFS(Sheet1!$AK$1:$AK$50, COLUMN()-1, Sheet1!$AL$1:$AL$50, 32-ROW())&gt;0, 999, IF(AND(COLUMN()-1=Sheet1!$AF$4, 32-ROW()=Sheet1!$AG$4), 0, MIN(E30, F30, G30, E31, G31, E32, F32, G32) + 1)))</f>
        <v>999</v>
      </c>
      <c r="G31">
        <f>IF(Sheet1!$AG$1=1, IF(AND(COLUMN()-1=Sheet1!$AF$4, 32-ROW()=Sheet1!$AG$4), 0, 999), IF(COUNTIFS(Sheet1!$AK$1:$AK$50, COLUMN()-1, Sheet1!$AL$1:$AL$50, 32-ROW())&gt;0, 999, IF(AND(COLUMN()-1=Sheet1!$AF$4, 32-ROW()=Sheet1!$AG$4), 0, MIN(F30, G30, H30, F31, H31, F32, G32, H32) + 1)))</f>
        <v>999</v>
      </c>
      <c r="H31">
        <f>IF(Sheet1!$AG$1=1, IF(AND(COLUMN()-1=Sheet1!$AF$4, 32-ROW()=Sheet1!$AG$4), 0, 999), IF(COUNTIFS(Sheet1!$AK$1:$AK$50, COLUMN()-1, Sheet1!$AL$1:$AL$50, 32-ROW())&gt;0, 999, IF(AND(COLUMN()-1=Sheet1!$AF$4, 32-ROW()=Sheet1!$AG$4), 0, MIN(G30, H30, I30, G31, I31, G32, H32, I32) + 1)))</f>
        <v>999</v>
      </c>
      <c r="I31">
        <f>IF(Sheet1!$AG$1=1, IF(AND(COLUMN()-1=Sheet1!$AF$4, 32-ROW()=Sheet1!$AG$4), 0, 999), IF(COUNTIFS(Sheet1!$AK$1:$AK$50, COLUMN()-1, Sheet1!$AL$1:$AL$50, 32-ROW())&gt;0, 999, IF(AND(COLUMN()-1=Sheet1!$AF$4, 32-ROW()=Sheet1!$AG$4), 0, MIN(H30, I30, J30, H31, J31, H32, I32, J32) + 1)))</f>
        <v>999</v>
      </c>
      <c r="J31">
        <f>IF(Sheet1!$AG$1=1, IF(AND(COLUMN()-1=Sheet1!$AF$4, 32-ROW()=Sheet1!$AG$4), 0, 999), IF(COUNTIFS(Sheet1!$AK$1:$AK$50, COLUMN()-1, Sheet1!$AL$1:$AL$50, 32-ROW())&gt;0, 999, IF(AND(COLUMN()-1=Sheet1!$AF$4, 32-ROW()=Sheet1!$AG$4), 0, MIN(I30, J30, K30, I31, K31, I32, J32, K32) + 1)))</f>
        <v>999</v>
      </c>
      <c r="K31">
        <f>IF(Sheet1!$AG$1=1, IF(AND(COLUMN()-1=Sheet1!$AF$4, 32-ROW()=Sheet1!$AG$4), 0, 999), IF(COUNTIFS(Sheet1!$AK$1:$AK$50, COLUMN()-1, Sheet1!$AL$1:$AL$50, 32-ROW())&gt;0, 999, IF(AND(COLUMN()-1=Sheet1!$AF$4, 32-ROW()=Sheet1!$AG$4), 0, MIN(J30, K30, L30, J31, L31, J32, K32, L32) + 1)))</f>
        <v>999</v>
      </c>
      <c r="L31">
        <f>IF(Sheet1!$AG$1=1, IF(AND(COLUMN()-1=Sheet1!$AF$4, 32-ROW()=Sheet1!$AG$4), 0, 999), IF(COUNTIFS(Sheet1!$AK$1:$AK$50, COLUMN()-1, Sheet1!$AL$1:$AL$50, 32-ROW())&gt;0, 999, IF(AND(COLUMN()-1=Sheet1!$AF$4, 32-ROW()=Sheet1!$AG$4), 0, MIN(K30, L30, M30, K31, M31, K32, L32, M32) + 1)))</f>
        <v>999</v>
      </c>
      <c r="M31">
        <f>IF(Sheet1!$AG$1=1, IF(AND(COLUMN()-1=Sheet1!$AF$4, 32-ROW()=Sheet1!$AG$4), 0, 999), IF(COUNTIFS(Sheet1!$AK$1:$AK$50, COLUMN()-1, Sheet1!$AL$1:$AL$50, 32-ROW())&gt;0, 999, IF(AND(COLUMN()-1=Sheet1!$AF$4, 32-ROW()=Sheet1!$AG$4), 0, MIN(L30, M30, N30, L31, N31, L32, M32, N32) + 1)))</f>
        <v>999</v>
      </c>
      <c r="N31">
        <f>IF(Sheet1!$AG$1=1, IF(AND(COLUMN()-1=Sheet1!$AF$4, 32-ROW()=Sheet1!$AG$4), 0, 999), IF(COUNTIFS(Sheet1!$AK$1:$AK$50, COLUMN()-1, Sheet1!$AL$1:$AL$50, 32-ROW())&gt;0, 999, IF(AND(COLUMN()-1=Sheet1!$AF$4, 32-ROW()=Sheet1!$AG$4), 0, MIN(M30, N30, O30, M31, O31, M32, N32, O32) + 1)))</f>
        <v>999</v>
      </c>
      <c r="O31">
        <f>IF(Sheet1!$AG$1=1, IF(AND(COLUMN()-1=Sheet1!$AF$4, 32-ROW()=Sheet1!$AG$4), 0, 999), IF(COUNTIFS(Sheet1!$AK$1:$AK$50, COLUMN()-1, Sheet1!$AL$1:$AL$50, 32-ROW())&gt;0, 999, IF(AND(COLUMN()-1=Sheet1!$AF$4, 32-ROW()=Sheet1!$AG$4), 0, MIN(N30, O30, P30, N31, P31, N32, O32, P32) + 1)))</f>
        <v>999</v>
      </c>
      <c r="P31">
        <f>IF(Sheet1!$AG$1=1, IF(AND(COLUMN()-1=Sheet1!$AF$4, 32-ROW()=Sheet1!$AG$4), 0, 999), IF(COUNTIFS(Sheet1!$AK$1:$AK$50, COLUMN()-1, Sheet1!$AL$1:$AL$50, 32-ROW())&gt;0, 999, IF(AND(COLUMN()-1=Sheet1!$AF$4, 32-ROW()=Sheet1!$AG$4), 0, MIN(O30, P30, Q30, O31, Q31, O32, P32, Q32) + 1)))</f>
        <v>999</v>
      </c>
      <c r="Q31">
        <f>IF(Sheet1!$AG$1=1, IF(AND(COLUMN()-1=Sheet1!$AF$4, 32-ROW()=Sheet1!$AG$4), 0, 999), IF(COUNTIFS(Sheet1!$AK$1:$AK$50, COLUMN()-1, Sheet1!$AL$1:$AL$50, 32-ROW())&gt;0, 999, IF(AND(COLUMN()-1=Sheet1!$AF$4, 32-ROW()=Sheet1!$AG$4), 0, MIN(P30, Q30, R30, P31, R31, P32, Q32, R32) + 1)))</f>
        <v>999</v>
      </c>
      <c r="R31">
        <f>IF(Sheet1!$AG$1=1, IF(AND(COLUMN()-1=Sheet1!$AF$4, 32-ROW()=Sheet1!$AG$4), 0, 999), IF(COUNTIFS(Sheet1!$AK$1:$AK$50, COLUMN()-1, Sheet1!$AL$1:$AL$50, 32-ROW())&gt;0, 999, IF(AND(COLUMN()-1=Sheet1!$AF$4, 32-ROW()=Sheet1!$AG$4), 0, MIN(Q30, R30, S30, Q31, S31, Q32, R32, S32) + 1)))</f>
        <v>999</v>
      </c>
      <c r="S31">
        <f>IF(Sheet1!$AG$1=1, IF(AND(COLUMN()-1=Sheet1!$AF$4, 32-ROW()=Sheet1!$AG$4), 0, 999), IF(COUNTIFS(Sheet1!$AK$1:$AK$50, COLUMN()-1, Sheet1!$AL$1:$AL$50, 32-ROW())&gt;0, 999, IF(AND(COLUMN()-1=Sheet1!$AF$4, 32-ROW()=Sheet1!$AG$4), 0, MIN(R30, S30, T30, R31, T31, R32, S32, T32) + 1)))</f>
        <v>999</v>
      </c>
      <c r="T31">
        <f>IF(Sheet1!$AG$1=1, IF(AND(COLUMN()-1=Sheet1!$AF$4, 32-ROW()=Sheet1!$AG$4), 0, 999), IF(COUNTIFS(Sheet1!$AK$1:$AK$50, COLUMN()-1, Sheet1!$AL$1:$AL$50, 32-ROW())&gt;0, 999, IF(AND(COLUMN()-1=Sheet1!$AF$4, 32-ROW()=Sheet1!$AG$4), 0, MIN(S30, T30, U30, S31, U31, S32, T32, U32) + 1)))</f>
        <v>999</v>
      </c>
      <c r="U31">
        <f>IF(Sheet1!$AG$1=1, IF(AND(COLUMN()-1=Sheet1!$AF$4, 32-ROW()=Sheet1!$AG$4), 0, 999), IF(COUNTIFS(Sheet1!$AK$1:$AK$50, COLUMN()-1, Sheet1!$AL$1:$AL$50, 32-ROW())&gt;0, 999, IF(AND(COLUMN()-1=Sheet1!$AF$4, 32-ROW()=Sheet1!$AG$4), 0, MIN(T30, U30, V30, T31, V31, T32, U32, V32) + 1)))</f>
        <v>999</v>
      </c>
      <c r="V31">
        <f>IF(Sheet1!$AG$1=1, IF(AND(COLUMN()-1=Sheet1!$AF$4, 32-ROW()=Sheet1!$AG$4), 0, 999), IF(COUNTIFS(Sheet1!$AK$1:$AK$50, COLUMN()-1, Sheet1!$AL$1:$AL$50, 32-ROW())&gt;0, 999, IF(AND(COLUMN()-1=Sheet1!$AF$4, 32-ROW()=Sheet1!$AG$4), 0, MIN(U30, V30, W30, U31, W31, U32, V32, W32) + 1)))</f>
        <v>999</v>
      </c>
      <c r="W31">
        <f>IF(Sheet1!$AG$1=1, IF(AND(COLUMN()-1=Sheet1!$AF$4, 32-ROW()=Sheet1!$AG$4), 0, 999), IF(COUNTIFS(Sheet1!$AK$1:$AK$50, COLUMN()-1, Sheet1!$AL$1:$AL$50, 32-ROW())&gt;0, 999, IF(AND(COLUMN()-1=Sheet1!$AF$4, 32-ROW()=Sheet1!$AG$4), 0, MIN(V30, W30, X30, V31, X31, V32, W32, X32) + 1)))</f>
        <v>999</v>
      </c>
      <c r="X31">
        <f>IF(Sheet1!$AG$1=1, IF(AND(COLUMN()-1=Sheet1!$AF$4, 32-ROW()=Sheet1!$AG$4), 0, 999), IF(COUNTIFS(Sheet1!$AK$1:$AK$50, COLUMN()-1, Sheet1!$AL$1:$AL$50, 32-ROW())&gt;0, 999, IF(AND(COLUMN()-1=Sheet1!$AF$4, 32-ROW()=Sheet1!$AG$4), 0, MIN(W30, X30, Y30, W31, Y31, W32, X32, Y32) + 1)))</f>
        <v>999</v>
      </c>
      <c r="Y31">
        <f>IF(Sheet1!$AG$1=1, IF(AND(COLUMN()-1=Sheet1!$AF$4, 32-ROW()=Sheet1!$AG$4), 0, 999), IF(COUNTIFS(Sheet1!$AK$1:$AK$50, COLUMN()-1, Sheet1!$AL$1:$AL$50, 32-ROW())&gt;0, 999, IF(AND(COLUMN()-1=Sheet1!$AF$4, 32-ROW()=Sheet1!$AG$4), 0, MIN(X30, Y30, Z30, X31, Z31, X32, Y32, Z32) + 1)))</f>
        <v>999</v>
      </c>
      <c r="Z31">
        <f>IF(Sheet1!$AG$1=1, IF(AND(COLUMN()-1=Sheet1!$AF$4, 32-ROW()=Sheet1!$AG$4), 0, 999), IF(COUNTIFS(Sheet1!$AK$1:$AK$50, COLUMN()-1, Sheet1!$AL$1:$AL$50, 32-ROW())&gt;0, 999, IF(AND(COLUMN()-1=Sheet1!$AF$4, 32-ROW()=Sheet1!$AG$4), 0, MIN(Y30, Z30, AA30, Y31, AA31, Y32, Z32, AA32) + 1)))</f>
        <v>999</v>
      </c>
      <c r="AA31">
        <f>IF(Sheet1!$AG$1=1, IF(AND(COLUMN()-1=Sheet1!$AF$4, 32-ROW()=Sheet1!$AG$4), 0, 999), IF(COUNTIFS(Sheet1!$AK$1:$AK$50, COLUMN()-1, Sheet1!$AL$1:$AL$50, 32-ROW())&gt;0, 999, IF(AND(COLUMN()-1=Sheet1!$AF$4, 32-ROW()=Sheet1!$AG$4), 0, MIN(Z30, AA30, AB30, Z31, AB31, Z32, AA32, AB32) + 1)))</f>
        <v>999</v>
      </c>
      <c r="AB31">
        <f>IF(Sheet1!$AG$1=1, IF(AND(COLUMN()-1=Sheet1!$AF$4, 32-ROW()=Sheet1!$AG$4), 0, 999), IF(COUNTIFS(Sheet1!$AK$1:$AK$50, COLUMN()-1, Sheet1!$AL$1:$AL$50, 32-ROW())&gt;0, 999, IF(AND(COLUMN()-1=Sheet1!$AF$4, 32-ROW()=Sheet1!$AG$4), 0, MIN(AA30, AB30, AC30, AA31, AC31, AA32, AB32, AC32) + 1)))</f>
        <v>999</v>
      </c>
      <c r="AC31">
        <f>IF(Sheet1!$AG$1=1, IF(AND(COLUMN()-1=Sheet1!$AF$4, 32-ROW()=Sheet1!$AG$4), 0, 999), IF(COUNTIFS(Sheet1!$AK$1:$AK$50, COLUMN()-1, Sheet1!$AL$1:$AL$50, 32-ROW())&gt;0, 999, IF(AND(COLUMN()-1=Sheet1!$AF$4, 32-ROW()=Sheet1!$AG$4), 0, MIN(AB30, AC30, AD30, AB31, AD31, AB32, AC32, AD32) + 1)))</f>
        <v>999</v>
      </c>
      <c r="AD31">
        <f>IF(Sheet1!$AG$1=1, IF(AND(COLUMN()-1=Sheet1!$AF$4, 32-ROW()=Sheet1!$AG$4), 0, 999), IF(COUNTIFS(Sheet1!$AK$1:$AK$50, COLUMN()-1, Sheet1!$AL$1:$AL$50, 32-ROW())&gt;0, 999, IF(AND(COLUMN()-1=Sheet1!$AF$4, 32-ROW()=Sheet1!$AG$4), 0, MIN(AC30, AD30, AE30, AC31, AE31, AC32, AD32, AE32) + 1)))</f>
        <v>999</v>
      </c>
      <c r="AE31">
        <f>IF(Sheet1!$AG$1=1, IF(AND(COLUMN()-1=Sheet1!$AF$4, 32-ROW()=Sheet1!$AG$4), 0, 999), IF(COUNTIFS(Sheet1!$AK$1:$AK$50, COLUMN()-1, Sheet1!$AL$1:$AL$50, 32-ROW())&gt;0, 999, IF(AND(COLUMN()-1=Sheet1!$AF$4, 32-ROW()=Sheet1!$AG$4), 0, MIN(AD30, AE30, AF30, AD31, AF31, AD32, AE32, AF32) + 1)))</f>
        <v>999</v>
      </c>
      <c r="AF31">
        <v>999</v>
      </c>
    </row>
    <row r="32" spans="1:32">
      <c r="A32">
        <v>999</v>
      </c>
      <c r="B32">
        <v>999</v>
      </c>
      <c r="C32">
        <v>999</v>
      </c>
      <c r="D32">
        <v>999</v>
      </c>
      <c r="E32">
        <v>999</v>
      </c>
      <c r="F32">
        <v>999</v>
      </c>
      <c r="G32">
        <v>999</v>
      </c>
      <c r="H32">
        <v>999</v>
      </c>
      <c r="I32">
        <v>999</v>
      </c>
      <c r="J32">
        <v>999</v>
      </c>
      <c r="K32">
        <v>999</v>
      </c>
      <c r="L32">
        <v>999</v>
      </c>
      <c r="M32">
        <v>999</v>
      </c>
      <c r="N32">
        <v>999</v>
      </c>
      <c r="O32">
        <v>999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999</v>
      </c>
      <c r="Y32">
        <v>999</v>
      </c>
      <c r="Z32">
        <v>999</v>
      </c>
      <c r="AA32">
        <v>999</v>
      </c>
      <c r="AB32">
        <v>999</v>
      </c>
      <c r="AC32">
        <v>999</v>
      </c>
      <c r="AD32">
        <v>999</v>
      </c>
      <c r="AE32">
        <v>999</v>
      </c>
      <c r="AF32">
        <v>999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2"/>
  <sheetViews>
    <sheetView zoomScale="85" zoomScaleNormal="85" workbookViewId="0">
      <selection activeCell="B2" sqref="B2:AE31"/>
    </sheetView>
  </sheetViews>
  <sheetFormatPr defaultColWidth="2.59765625" defaultRowHeight="13.5"/>
  <cols>
    <col min="1" max="1" width="6.06640625" bestFit="1" customWidth="1"/>
    <col min="2" max="2" width="8.3984375" bestFit="1" customWidth="1"/>
    <col min="3" max="9" width="6.06640625" bestFit="1" customWidth="1"/>
    <col min="10" max="10" width="8.3984375" bestFit="1" customWidth="1"/>
    <col min="11" max="32" width="6.06640625" bestFit="1" customWidth="1"/>
  </cols>
  <sheetData>
    <row r="1" spans="1:32">
      <c r="A1">
        <v>99999</v>
      </c>
      <c r="B1">
        <v>99999</v>
      </c>
      <c r="C1">
        <v>99999</v>
      </c>
      <c r="D1">
        <v>99999</v>
      </c>
      <c r="E1">
        <v>99999</v>
      </c>
      <c r="F1">
        <v>99999</v>
      </c>
      <c r="G1">
        <v>99999</v>
      </c>
      <c r="H1">
        <v>99999</v>
      </c>
      <c r="I1">
        <v>99999</v>
      </c>
      <c r="J1">
        <v>99999</v>
      </c>
      <c r="K1">
        <v>99999</v>
      </c>
      <c r="L1">
        <v>99999</v>
      </c>
      <c r="M1">
        <v>99999</v>
      </c>
      <c r="N1">
        <v>99999</v>
      </c>
      <c r="O1">
        <v>99999</v>
      </c>
      <c r="P1">
        <v>99999</v>
      </c>
      <c r="Q1">
        <v>99999</v>
      </c>
      <c r="R1">
        <v>99999</v>
      </c>
      <c r="S1">
        <v>99999</v>
      </c>
      <c r="T1">
        <v>99999</v>
      </c>
      <c r="U1">
        <v>99999</v>
      </c>
      <c r="V1">
        <v>99999</v>
      </c>
      <c r="W1">
        <v>99999</v>
      </c>
      <c r="X1">
        <v>99999</v>
      </c>
      <c r="Y1">
        <v>99999</v>
      </c>
      <c r="Z1">
        <v>99999</v>
      </c>
      <c r="AA1">
        <v>99999</v>
      </c>
      <c r="AB1">
        <v>99999</v>
      </c>
      <c r="AC1">
        <v>99999</v>
      </c>
      <c r="AD1">
        <v>99999</v>
      </c>
      <c r="AE1">
        <v>99999</v>
      </c>
      <c r="AF1">
        <v>99999</v>
      </c>
    </row>
    <row r="2" spans="1:32">
      <c r="A2">
        <v>99999</v>
      </c>
      <c r="B2" cm="1">
        <f t="array" ref="B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C2" cm="1">
        <f t="array" ref="C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11215.945374500467</v>
      </c>
      <c r="D2" cm="1">
        <f t="array" ref="D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4613.5769508841677</v>
      </c>
      <c r="E2" cm="1">
        <f t="array" ref="E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3314.4948434136822</v>
      </c>
      <c r="F2" cm="1">
        <f t="array" ref="F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2865.7842463506377</v>
      </c>
      <c r="G2" cm="1">
        <f t="array" ref="G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2657.5705358139535</v>
      </c>
      <c r="H2" cm="1">
        <f t="array" ref="H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2534.211534660064</v>
      </c>
      <c r="I2" cm="1">
        <f t="array" ref="I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2443.4607824248087</v>
      </c>
      <c r="J2" cm="1">
        <f t="array" ref="J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2368.7076676837969</v>
      </c>
      <c r="K2" cm="1">
        <f t="array" ref="K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2308.3958299293313</v>
      </c>
      <c r="L2" cm="1">
        <f t="array" ref="L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2266.0341710730386</v>
      </c>
      <c r="M2" cm="1">
        <f t="array" ref="M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2244.7673694008772</v>
      </c>
      <c r="N2" cm="1">
        <f t="array" ref="N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2244.4834800397111</v>
      </c>
      <c r="O2" cm="1">
        <f t="array" ref="O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2259.6349884093152</v>
      </c>
      <c r="P2" cm="1">
        <f t="array" ref="P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2277.9549840583377</v>
      </c>
      <c r="Q2" cm="1">
        <f t="array" ref="Q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2283.0970236114999</v>
      </c>
      <c r="R2" cm="1">
        <f t="array" ref="R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2261.8672325835864</v>
      </c>
      <c r="S2" cm="1">
        <f t="array" ref="S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2208.6574304564633</v>
      </c>
      <c r="T2" cm="1">
        <f t="array" ref="T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2123.4511317024599</v>
      </c>
      <c r="U2" cm="1">
        <f t="array" ref="U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2011.7031481529527</v>
      </c>
      <c r="V2" cm="1">
        <f t="array" ref="V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1886.0499084136434</v>
      </c>
      <c r="W2" cm="1">
        <f t="array" ref="W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1761.4917878564145</v>
      </c>
      <c r="X2" cm="1">
        <f t="array" ref="X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1647.7282552981908</v>
      </c>
      <c r="Y2" cm="1">
        <f t="array" ref="Y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1546.3532621001416</v>
      </c>
      <c r="Z2" cm="1">
        <f t="array" ref="Z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1452.8909297686985</v>
      </c>
      <c r="AA2" cm="1">
        <f t="array" ref="AA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1360.9473599118562</v>
      </c>
      <c r="AB2" cm="1">
        <f t="array" ref="AB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1266.5205425494207</v>
      </c>
      <c r="AC2" cm="1">
        <f t="array" ref="AC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1170.1265734641538</v>
      </c>
      <c r="AD2" cm="1">
        <f t="array" ref="AD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1075.5222071450032</v>
      </c>
      <c r="AE2" cm="1">
        <f t="array" ref="AE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0</v>
      </c>
      <c r="AF2">
        <v>99999</v>
      </c>
    </row>
    <row r="3" spans="1:32">
      <c r="A3">
        <v>99999</v>
      </c>
      <c r="B3" cm="1">
        <f t="array" ref="B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11361.765262578991</v>
      </c>
      <c r="C3" cm="1">
        <f t="array" ref="C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7130.7694036255652</v>
      </c>
      <c r="D3" cm="1">
        <f t="array" ref="D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4420.4442136731959</v>
      </c>
      <c r="E3" cm="1">
        <f t="array" ref="E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3523.8570319374762</v>
      </c>
      <c r="F3" cm="1">
        <f t="array" ref="F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3172.935155827066</v>
      </c>
      <c r="G3" cm="1">
        <f t="array" ref="G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3002.8556130516249</v>
      </c>
      <c r="H3" cm="1">
        <f t="array" ref="H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2891.2345676488935</v>
      </c>
      <c r="I3" cm="1">
        <f t="array" ref="I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2791.8172281222064</v>
      </c>
      <c r="J3" cm="1">
        <f t="array" ref="J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2696.550640434933</v>
      </c>
      <c r="K3" cm="1">
        <f t="array" ref="K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2616.3297386065638</v>
      </c>
      <c r="L3" cm="1">
        <f t="array" ref="L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2565.276897167314</v>
      </c>
      <c r="M3" cm="1">
        <f t="array" ref="M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2553.4793757874504</v>
      </c>
      <c r="N3" cm="1">
        <f t="array" ref="N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2585.0996022662976</v>
      </c>
      <c r="O3" cm="1">
        <f t="array" ref="O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2654.4761712742206</v>
      </c>
      <c r="P3" cm="1">
        <f t="array" ref="P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2738.0768420082359</v>
      </c>
      <c r="Q3" cm="1">
        <f t="array" ref="Q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2795.7079410908286</v>
      </c>
      <c r="R3" cm="1">
        <f t="array" ref="R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2797.2642886960566</v>
      </c>
      <c r="S3" cm="1">
        <f t="array" ref="S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2739.4869019572952</v>
      </c>
      <c r="T3" cm="1">
        <f t="array" ref="T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2622.6169438557372</v>
      </c>
      <c r="U3" cm="1">
        <f t="array" ref="U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2450.2771222280076</v>
      </c>
      <c r="V3" cm="1">
        <f t="array" ref="V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2252.4611164771345</v>
      </c>
      <c r="W3" cm="1">
        <f t="array" ref="W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2068.0701710652843</v>
      </c>
      <c r="X3" cm="1">
        <f t="array" ref="X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1916.949616537951</v>
      </c>
      <c r="Y3" cm="1">
        <f t="array" ref="Y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1797.2919059860744</v>
      </c>
      <c r="Z3" cm="1">
        <f t="array" ref="Z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1694.1023345415715</v>
      </c>
      <c r="AA3" cm="1">
        <f t="array" ref="AA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1588.8687960525963</v>
      </c>
      <c r="AB3" cm="1">
        <f t="array" ref="AB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1470.7874399095199</v>
      </c>
      <c r="AC3" cm="1">
        <f t="array" ref="AC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1342.6888420076471</v>
      </c>
      <c r="AD3" cm="1">
        <f t="array" ref="AD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1215.3633495991044</v>
      </c>
      <c r="AE3" cm="1">
        <f t="array" ref="AE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1098.273233623966</v>
      </c>
      <c r="AF3">
        <v>99999</v>
      </c>
    </row>
    <row r="4" spans="1:32">
      <c r="A4">
        <v>99999</v>
      </c>
      <c r="B4" cm="1">
        <f t="array" ref="B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4983.0563931247998</v>
      </c>
      <c r="C4" cm="1">
        <f t="array" ref="C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4685.9809901245872</v>
      </c>
      <c r="D4" cm="1">
        <f t="array" ref="D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4121.7640024545035</v>
      </c>
      <c r="E4" cm="1">
        <f t="array" ref="E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3772.1972239908218</v>
      </c>
      <c r="F4" cm="1">
        <f t="array" ref="F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3597.2909590382474</v>
      </c>
      <c r="G4" cm="1">
        <f t="array" ref="G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3507.6975516525667</v>
      </c>
      <c r="H4" cm="1">
        <f t="array" ref="H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3423.1720032255048</v>
      </c>
      <c r="I4" cm="1">
        <f t="array" ref="I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3297.0041944860118</v>
      </c>
      <c r="J4" cm="1">
        <f t="array" ref="J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3144.2368262023692</v>
      </c>
      <c r="K4" cm="1">
        <f t="array" ref="K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3010.9091034100716</v>
      </c>
      <c r="L4" cm="1">
        <f t="array" ref="L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2933.0987139379567</v>
      </c>
      <c r="M4" cm="1">
        <f t="array" ref="M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2931.5526934123614</v>
      </c>
      <c r="N4" cm="1">
        <f t="array" ref="N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3021.6030321387616</v>
      </c>
      <c r="O4" cm="1">
        <f t="array" ref="O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3211.0378388378149</v>
      </c>
      <c r="P4" cm="1">
        <f t="array" ref="P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3463.4830708956097</v>
      </c>
      <c r="Q4" cm="1">
        <f t="array" ref="Q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3654.9611330451739</v>
      </c>
      <c r="R4" cm="1">
        <f t="array" ref="R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3690.1802835268845</v>
      </c>
      <c r="S4" cm="1">
        <f t="array" ref="S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3626.4546917106259</v>
      </c>
      <c r="T4" cm="1">
        <f t="array" ref="T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3464.4953827159552</v>
      </c>
      <c r="U4" cm="1">
        <f t="array" ref="U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3148.4330043120899</v>
      </c>
      <c r="V4" cm="1">
        <f t="array" ref="V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2774.8359499339626</v>
      </c>
      <c r="W4" cm="1">
        <f t="array" ref="W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2467.8631941472249</v>
      </c>
      <c r="X4" cm="1">
        <f t="array" ref="X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2260.4389182178029</v>
      </c>
      <c r="Y4" cm="1">
        <f t="array" ref="Y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2132.2184836911124</v>
      </c>
      <c r="Z4" cm="1">
        <f t="array" ref="Z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2040.1560358851852</v>
      </c>
      <c r="AA4" cm="1">
        <f t="array" ref="AA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1930.9977022817559</v>
      </c>
      <c r="AB4" cm="1">
        <f t="array" ref="AB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1773.7366005511583</v>
      </c>
      <c r="AC4" cm="1">
        <f t="array" ref="AC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1583.9826311980205</v>
      </c>
      <c r="AD4" cm="1">
        <f t="array" ref="AD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1396.8425638529566</v>
      </c>
      <c r="AE4" cm="1">
        <f t="array" ref="AE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1233.6295707175691</v>
      </c>
      <c r="AF4">
        <v>99999</v>
      </c>
    </row>
    <row r="5" spans="1:32">
      <c r="A5">
        <v>99999</v>
      </c>
      <c r="B5" cm="1">
        <f t="array" ref="B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4041.6630497343781</v>
      </c>
      <c r="C5" cm="1">
        <f t="array" ref="C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4299.8910463838729</v>
      </c>
      <c r="D5" cm="1">
        <f t="array" ref="D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4381.568102841351</v>
      </c>
      <c r="E5" cm="1">
        <f t="array" ref="E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4338.3018026748214</v>
      </c>
      <c r="F5" cm="1">
        <f t="array" ref="F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4312.3789742024728</v>
      </c>
      <c r="G5" cm="1">
        <f t="array" ref="G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4365.0273823813477</v>
      </c>
      <c r="H5" cm="1">
        <f t="array" ref="H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4349.4345471133674</v>
      </c>
      <c r="I5" cm="1">
        <f t="array" ref="I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4126.0132603816082</v>
      </c>
      <c r="J5" cm="1">
        <f t="array" ref="J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3796.4896435480518</v>
      </c>
      <c r="K5" cm="1">
        <f t="array" ref="K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3524.5509984316509</v>
      </c>
      <c r="L5" cm="1">
        <f t="array" ref="L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3379.3246237550816</v>
      </c>
      <c r="M5" cm="1">
        <f t="array" ref="M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3382.1328836701887</v>
      </c>
      <c r="N5" cm="1">
        <f t="array" ref="N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3570.094701112509</v>
      </c>
      <c r="O5" cm="1">
        <f t="array" ref="O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4030.3768894827472</v>
      </c>
      <c r="P5" cm="1">
        <f t="array" ref="P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4824.450514714079</v>
      </c>
      <c r="Q5" cm="1">
        <f t="array" ref="Q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5491.8833729567496</v>
      </c>
      <c r="R5" cm="1">
        <f t="array" ref="R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5411.7018703017648</v>
      </c>
      <c r="S5" cm="1">
        <f t="array" ref="S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5339.7376439227328</v>
      </c>
      <c r="T5" cm="1">
        <f t="array" ref="T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5277.3590323398412</v>
      </c>
      <c r="U5" cm="1">
        <f t="array" ref="U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4472.0014845848036</v>
      </c>
      <c r="V5" cm="1">
        <f t="array" ref="V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3549.0686849561348</v>
      </c>
      <c r="W5" cm="1">
        <f t="array" ref="W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2974.3671262985872</v>
      </c>
      <c r="X5" cm="1">
        <f t="array" ref="X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2690.4197637409825</v>
      </c>
      <c r="Y5" cm="1">
        <f t="array" ref="Y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2600.4696800414899</v>
      </c>
      <c r="Z5" cm="1">
        <f t="array" ref="Z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2605.2068284596103</v>
      </c>
      <c r="AA5" cm="1">
        <f t="array" ref="AA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2540.7465157247448</v>
      </c>
      <c r="AB5" cm="1">
        <f t="array" ref="AB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2291.2122854922586</v>
      </c>
      <c r="AC5" cm="1">
        <f t="array" ref="AC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1946.9129687111265</v>
      </c>
      <c r="AD5" cm="1">
        <f t="array" ref="AD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1635.9022810258427</v>
      </c>
      <c r="AE5" cm="1">
        <f t="array" ref="AE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1395.3985024559056</v>
      </c>
      <c r="AF5">
        <v>99999</v>
      </c>
    </row>
    <row r="6" spans="1:32">
      <c r="A6">
        <v>99999</v>
      </c>
      <c r="B6" cm="1">
        <f t="array" ref="B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4176.9576440346427</v>
      </c>
      <c r="C6" cm="1">
        <f t="array" ref="C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5063.1880986546539</v>
      </c>
      <c r="D6" cm="1">
        <f t="array" ref="D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5754.9234873816258</v>
      </c>
      <c r="E6" cm="1">
        <f t="array" ref="E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5651.0903546749305</v>
      </c>
      <c r="F6" cm="1">
        <f t="array" ref="F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5585.8970994602269</v>
      </c>
      <c r="G6" cm="1">
        <f t="array" ref="G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6077.6484727855895</v>
      </c>
      <c r="H6" cm="1">
        <f t="array" ref="H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6438.2273184541937</v>
      </c>
      <c r="I6" cm="1">
        <f t="array" ref="I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5763.1092284381184</v>
      </c>
      <c r="J6" cm="1">
        <f t="array" ref="J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4807.862557315394</v>
      </c>
      <c r="K6" cm="1">
        <f t="array" ref="K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4189.2049067238877</v>
      </c>
      <c r="L6" cm="1">
        <f t="array" ref="L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3904.0143056759134</v>
      </c>
      <c r="M6" cm="1">
        <f t="array" ref="M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3890.9956483405249</v>
      </c>
      <c r="N6" cm="1">
        <f t="array" ref="N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4201.2486216922098</v>
      </c>
      <c r="O6" cm="1">
        <f t="array" ref="O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5172.2663304753978</v>
      </c>
      <c r="P6" cm="1">
        <f t="array" ref="P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8086.8116395108591</v>
      </c>
      <c r="Q6" cm="1">
        <f t="array" ref="Q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12741.70171833546</v>
      </c>
      <c r="R6" cm="1">
        <f t="array" ref="R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9303.6195069174028</v>
      </c>
      <c r="S6" cm="1">
        <f t="array" ref="S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9219.6401654433485</v>
      </c>
      <c r="T6" cm="1">
        <f t="array" ref="T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12491.587848256091</v>
      </c>
      <c r="U6" cm="1">
        <f t="array" ref="U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7678.0705276106873</v>
      </c>
      <c r="V6" cm="1">
        <f t="array" ref="V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4622.6628044729305</v>
      </c>
      <c r="W6" cm="1">
        <f t="array" ref="W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3545.587382274266</v>
      </c>
      <c r="X6" cm="1">
        <f t="array" ref="X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3195.4717443588661</v>
      </c>
      <c r="Y6" cm="1">
        <f t="array" ref="Y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3287.8360288096901</v>
      </c>
      <c r="Z6" cm="1">
        <f t="array" ref="Z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3748.5317302584799</v>
      </c>
      <c r="AA6" cm="1">
        <f t="array" ref="AA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4025.0601732841601</v>
      </c>
      <c r="AB6" cm="1">
        <f t="array" ref="AB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3385.5122212687129</v>
      </c>
      <c r="AC6" cm="1">
        <f t="array" ref="AC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2525.7908981304372</v>
      </c>
      <c r="AD6" cm="1">
        <f t="array" ref="AD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1941.4341240204733</v>
      </c>
      <c r="AE6" cm="1">
        <f t="array" ref="AE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1578.1331263428388</v>
      </c>
      <c r="AF6">
        <v>99999</v>
      </c>
    </row>
    <row r="7" spans="1:32">
      <c r="A7">
        <v>99999</v>
      </c>
      <c r="B7" cm="1">
        <f t="array" ref="B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4823.2295672998134</v>
      </c>
      <c r="C7" cm="1">
        <f t="array" ref="C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7863.5963143750587</v>
      </c>
      <c r="D7" cm="1">
        <f t="array" ref="D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12569.880895400311</v>
      </c>
      <c r="E7" cm="1">
        <f t="array" ref="E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8938.7041929544321</v>
      </c>
      <c r="F7" cm="1">
        <f t="array" ref="F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7623.2235729406093</v>
      </c>
      <c r="G7" cm="1">
        <f t="array" ref="G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10246.616922260089</v>
      </c>
      <c r="H7" cm="1">
        <f t="array" ref="H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14739.152395888201</v>
      </c>
      <c r="I7" cm="1">
        <f t="array" ref="I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9843.2673200747577</v>
      </c>
      <c r="J7" cm="1">
        <f t="array" ref="J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6337.7162104593444</v>
      </c>
      <c r="K7" cm="1">
        <f t="array" ref="K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4990.5940325758274</v>
      </c>
      <c r="L7" cm="1">
        <f t="array" ref="L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4490.6182064144095</v>
      </c>
      <c r="M7" cm="1">
        <f t="array" ref="M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4431.8345891078443</v>
      </c>
      <c r="N7" cm="1">
        <f t="array" ref="N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4804.3431162372181</v>
      </c>
      <c r="O7" cm="1">
        <f t="array" ref="O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6158.5843561657566</v>
      </c>
      <c r="P7" cm="1">
        <f t="array" ref="P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12953.718071920286</v>
      </c>
      <c r="Q7" cm="1">
        <f t="array" ref="Q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R7" cm="1">
        <f t="array" ref="R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14609.775708500345</v>
      </c>
      <c r="S7" cm="1">
        <f t="array" ref="S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14507.985860238761</v>
      </c>
      <c r="T7" cm="1">
        <f t="array" ref="T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U7" cm="1">
        <f t="array" ref="U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12453.250995774155</v>
      </c>
      <c r="V7" cm="1">
        <f t="array" ref="V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5491.6783043306377</v>
      </c>
      <c r="W7" cm="1">
        <f t="array" ref="W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4034.0040544126878</v>
      </c>
      <c r="X7" cm="1">
        <f t="array" ref="X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3703.1196113624187</v>
      </c>
      <c r="Y7" cm="1">
        <f t="array" ref="Y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4235.8769055309531</v>
      </c>
      <c r="Z7" cm="1">
        <f t="array" ref="Z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6733.7675270398859</v>
      </c>
      <c r="AA7" cm="1">
        <f t="array" ref="AA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10834.070699240734</v>
      </c>
      <c r="AB7" cm="1">
        <f t="array" ref="AB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6323.1517560586599</v>
      </c>
      <c r="AC7" cm="1">
        <f t="array" ref="AC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3371.9723152041433</v>
      </c>
      <c r="AD7" cm="1">
        <f t="array" ref="AD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2274.2300549505494</v>
      </c>
      <c r="AE7" cm="1">
        <f t="array" ref="AE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1759.3556654400072</v>
      </c>
      <c r="AF7">
        <v>99999</v>
      </c>
    </row>
    <row r="8" spans="1:32">
      <c r="A8">
        <v>99999</v>
      </c>
      <c r="B8" cm="1">
        <f t="array" ref="B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5314.1080774620968</v>
      </c>
      <c r="C8" cm="1">
        <f t="array" ref="C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12259.951807693069</v>
      </c>
      <c r="D8" cm="1">
        <f t="array" ref="D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E8" cm="1">
        <f t="array" ref="E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13713.62670617599</v>
      </c>
      <c r="F8" cm="1">
        <f t="array" ref="F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9474.856732504968</v>
      </c>
      <c r="G8" cm="1">
        <f t="array" ref="G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17716.364396833575</v>
      </c>
      <c r="H8" cm="1">
        <f t="array" ref="H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I8" cm="1">
        <f t="array" ref="I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17348.299910974569</v>
      </c>
      <c r="J8" cm="1">
        <f t="array" ref="J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7968.1017613967424</v>
      </c>
      <c r="K8" cm="1">
        <f t="array" ref="K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5796.5227732735048</v>
      </c>
      <c r="L8" cm="1">
        <f t="array" ref="L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5118.7216317518169</v>
      </c>
      <c r="M8" cm="1">
        <f t="array" ref="M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5012.6674557926981</v>
      </c>
      <c r="N8" cm="1">
        <f t="array" ref="N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5333.451688071279</v>
      </c>
      <c r="O8" cm="1">
        <f t="array" ref="O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6351.1431207111837</v>
      </c>
      <c r="P8" cm="1">
        <f t="array" ref="P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9307.5479704910304</v>
      </c>
      <c r="Q8" cm="1">
        <f t="array" ref="Q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13979.37297332345</v>
      </c>
      <c r="R8" cm="1">
        <f t="array" ref="R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10533.523459287737</v>
      </c>
      <c r="S8" cm="1">
        <f t="array" ref="S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10407.649754867891</v>
      </c>
      <c r="T8" cm="1">
        <f t="array" ref="T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13587.908988888712</v>
      </c>
      <c r="U8" cm="1">
        <f t="array" ref="U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8646.5117013442341</v>
      </c>
      <c r="V8" cm="1">
        <f t="array" ref="V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5466.9686492156779</v>
      </c>
      <c r="W8" cm="1">
        <f t="array" ref="W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4321.2554245011406</v>
      </c>
      <c r="X8" cm="1">
        <f t="array" ref="X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4069.8048593354561</v>
      </c>
      <c r="Y8" cm="1">
        <f t="array" ref="Y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4942.5113875055804</v>
      </c>
      <c r="Z8" cm="1">
        <f t="array" ref="Z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11261.02858190621</v>
      </c>
      <c r="AA8" cm="1">
        <f t="array" ref="AA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AB8" cm="1">
        <f t="array" ref="AB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10804.650701550745</v>
      </c>
      <c r="AC8" cm="1">
        <f t="array" ref="AC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3985.5146358925126</v>
      </c>
      <c r="AD8" cm="1">
        <f t="array" ref="AD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2503.3469651122336</v>
      </c>
      <c r="AE8" cm="1">
        <f t="array" ref="AE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1902.453051733276</v>
      </c>
      <c r="AF8">
        <v>99999</v>
      </c>
    </row>
    <row r="9" spans="1:32">
      <c r="A9">
        <v>99999</v>
      </c>
      <c r="B9" cm="1">
        <f t="array" ref="B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4881.2483810826743</v>
      </c>
      <c r="C9" cm="1">
        <f t="array" ref="C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8004.0072015661453</v>
      </c>
      <c r="D9" cm="1">
        <f t="array" ref="D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12863.607000948208</v>
      </c>
      <c r="E9" cm="1">
        <f t="array" ref="E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9550.8632399539783</v>
      </c>
      <c r="F9" cm="1">
        <f t="array" ref="F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9228.5412213666114</v>
      </c>
      <c r="G9" cm="1">
        <f t="array" ref="G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17919.573349002414</v>
      </c>
      <c r="H9" cm="1">
        <f t="array" ref="H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I9" cm="1">
        <f t="array" ref="I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17843.5546248518</v>
      </c>
      <c r="J9" cm="1">
        <f t="array" ref="J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8567.9429944106432</v>
      </c>
      <c r="K9" cm="1">
        <f t="array" ref="K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6468.3477334360114</v>
      </c>
      <c r="L9" cm="1">
        <f t="array" ref="L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5827.8109255057434</v>
      </c>
      <c r="M9" cm="1">
        <f t="array" ref="M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5736.821937500883</v>
      </c>
      <c r="N9" cm="1">
        <f t="array" ref="N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6012.1541060255067</v>
      </c>
      <c r="O9" cm="1">
        <f t="array" ref="O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6641.210921286226</v>
      </c>
      <c r="P9" cm="1">
        <f t="array" ref="P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7568.427749082809</v>
      </c>
      <c r="Q9" cm="1">
        <f t="array" ref="Q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8267.3576550153393</v>
      </c>
      <c r="R9" cm="1">
        <f t="array" ref="R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8183.9021828393243</v>
      </c>
      <c r="S9" cm="1">
        <f t="array" ref="S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8047.8254240494498</v>
      </c>
      <c r="T9" cm="1">
        <f t="array" ref="T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7748.6419275322714</v>
      </c>
      <c r="U9" cm="1">
        <f t="array" ref="U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6586.7022759198326</v>
      </c>
      <c r="V9" cm="1">
        <f t="array" ref="V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5322.8454433582292</v>
      </c>
      <c r="W9" cm="1">
        <f t="array" ref="W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4519.9410266897639</v>
      </c>
      <c r="X9" cm="1">
        <f t="array" ref="X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4234.246204753701</v>
      </c>
      <c r="Y9" cm="1">
        <f t="array" ref="Y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4714.4760719557535</v>
      </c>
      <c r="Z9" cm="1">
        <f t="array" ref="Z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7152.6844947266727</v>
      </c>
      <c r="AA9" cm="1">
        <f t="array" ref="AA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11202.175761513392</v>
      </c>
      <c r="AB9" cm="1">
        <f t="array" ref="AB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6649.5542391959671</v>
      </c>
      <c r="AC9" cm="1">
        <f t="array" ref="AC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3663.0652399624082</v>
      </c>
      <c r="AD9" cm="1">
        <f t="array" ref="AD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2533.875002561002</v>
      </c>
      <c r="AE9" cm="1">
        <f t="array" ref="AE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1989.8459194590239</v>
      </c>
      <c r="AF9">
        <v>99999</v>
      </c>
    </row>
    <row r="10" spans="1:32">
      <c r="A10">
        <v>99999</v>
      </c>
      <c r="B10" cm="1">
        <f t="array" ref="B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4211.5260422285628</v>
      </c>
      <c r="C10" cm="1">
        <f t="array" ref="C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5263.499291718751</v>
      </c>
      <c r="D10" cm="1">
        <f t="array" ref="D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6247.8794682441739</v>
      </c>
      <c r="E10" cm="1">
        <f t="array" ref="E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6635.3498722789736</v>
      </c>
      <c r="F10" cm="1">
        <f t="array" ref="F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7603.7611353063376</v>
      </c>
      <c r="G10" cm="1">
        <f t="array" ref="G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10985.87820715192</v>
      </c>
      <c r="H10" cm="1">
        <f t="array" ref="H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15936.143150315886</v>
      </c>
      <c r="I10" cm="1">
        <f t="array" ref="I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11456.493805589947</v>
      </c>
      <c r="J10" cm="1">
        <f t="array" ref="J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8332.2921073723664</v>
      </c>
      <c r="K10" cm="1">
        <f t="array" ref="K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7236.9015804683513</v>
      </c>
      <c r="L10" cm="1">
        <f t="array" ref="L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6831.2991129336378</v>
      </c>
      <c r="M10" cm="1">
        <f t="array" ref="M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6841.5094383714422</v>
      </c>
      <c r="N10" cm="1">
        <f t="array" ref="N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7254.7373750354682</v>
      </c>
      <c r="O10" cm="1">
        <f t="array" ref="O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8038.5975238703895</v>
      </c>
      <c r="P10" cm="1">
        <f t="array" ref="P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8770.6776584927647</v>
      </c>
      <c r="Q10" cm="1">
        <f t="array" ref="Q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8826.3937162247075</v>
      </c>
      <c r="R10" cm="1">
        <f t="array" ref="R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8903.2462381653168</v>
      </c>
      <c r="S10" cm="1">
        <f t="array" ref="S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9001.6845445677209</v>
      </c>
      <c r="T10" cm="1">
        <f t="array" ref="T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8192.060535103963</v>
      </c>
      <c r="U10" cm="1">
        <f t="array" ref="U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6882.5052137517268</v>
      </c>
      <c r="V10" cm="1">
        <f t="array" ref="V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5692.2878930467614</v>
      </c>
      <c r="W10" cm="1">
        <f t="array" ref="W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4834.1308908932897</v>
      </c>
      <c r="X10" cm="1">
        <f t="array" ref="X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4354.6299940796061</v>
      </c>
      <c r="Y10" cm="1">
        <f t="array" ref="Y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4283.1773692181514</v>
      </c>
      <c r="Z10" cm="1">
        <f t="array" ref="Z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4606.9875198017226</v>
      </c>
      <c r="AA10" cm="1">
        <f t="array" ref="AA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4776.8041143244091</v>
      </c>
      <c r="AB10" cm="1">
        <f t="array" ref="AB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4052.5846439761908</v>
      </c>
      <c r="AC10" cm="1">
        <f t="array" ref="AC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3121.7572909822693</v>
      </c>
      <c r="AD10" cm="1">
        <f t="array" ref="AD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2473.5405110476186</v>
      </c>
      <c r="AE10" cm="1">
        <f t="array" ref="AE1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2050.0942831993102</v>
      </c>
      <c r="AF10">
        <v>99999</v>
      </c>
    </row>
    <row r="11" spans="1:32">
      <c r="A11">
        <v>99999</v>
      </c>
      <c r="B11" cm="1">
        <f t="array" ref="B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3805.272634653963</v>
      </c>
      <c r="C11" cm="1">
        <f t="array" ref="C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4352.1996019238759</v>
      </c>
      <c r="D11" cm="1">
        <f t="array" ref="D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4922.7598098821263</v>
      </c>
      <c r="E11" cm="1">
        <f t="array" ref="E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5504.5332040707654</v>
      </c>
      <c r="F11" cm="1">
        <f t="array" ref="F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6328.2980217416371</v>
      </c>
      <c r="G11" cm="1">
        <f t="array" ref="G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7578.8676086806381</v>
      </c>
      <c r="H11" cm="1">
        <f t="array" ref="H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8711.4194977478619</v>
      </c>
      <c r="I11" cm="1">
        <f t="array" ref="I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8950.884616113377</v>
      </c>
      <c r="J11" cm="1">
        <f t="array" ref="J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9033.5196343137286</v>
      </c>
      <c r="K11" cm="1">
        <f t="array" ref="K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9092.7514814604729</v>
      </c>
      <c r="L11" cm="1">
        <f t="array" ref="L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8701.9874743911278</v>
      </c>
      <c r="M11" cm="1">
        <f t="array" ref="M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8813.1932386976277</v>
      </c>
      <c r="N11" cm="1">
        <f t="array" ref="N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9795.0284248706957</v>
      </c>
      <c r="O11" cm="1">
        <f t="array" ref="O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12142.080001056893</v>
      </c>
      <c r="P11" cm="1">
        <f t="array" ref="P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16216.869563456798</v>
      </c>
      <c r="Q11" cm="1">
        <f t="array" ref="Q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12623.897223537284</v>
      </c>
      <c r="R11" cm="1">
        <f t="array" ref="R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12823.082290583772</v>
      </c>
      <c r="S11" cm="1">
        <f t="array" ref="S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16790.21616523189</v>
      </c>
      <c r="T11" cm="1">
        <f t="array" ref="T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12486.219360595564</v>
      </c>
      <c r="U11" cm="1">
        <f t="array" ref="U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8864.6649058378334</v>
      </c>
      <c r="V11" cm="1">
        <f t="array" ref="V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6728.649695192159</v>
      </c>
      <c r="W11" cm="1">
        <f t="array" ref="W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5400.0525804585877</v>
      </c>
      <c r="X11" cm="1">
        <f t="array" ref="X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4605.1392265638106</v>
      </c>
      <c r="Y11" cm="1">
        <f t="array" ref="Y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4171.2241642660938</v>
      </c>
      <c r="Z11" cm="1">
        <f t="array" ref="Z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3940.686759208068</v>
      </c>
      <c r="AA11" cm="1">
        <f t="array" ref="AA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3708.2642645858505</v>
      </c>
      <c r="AB11" cm="1">
        <f t="array" ref="AB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3330.6706641912451</v>
      </c>
      <c r="AC11" cm="1">
        <f t="array" ref="AC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2879.5768495974371</v>
      </c>
      <c r="AD11" cm="1">
        <f t="array" ref="AD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2470.5450287304361</v>
      </c>
      <c r="AE11" cm="1">
        <f t="array" ref="AE1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2134.4599241924625</v>
      </c>
      <c r="AF11">
        <v>99999</v>
      </c>
    </row>
    <row r="12" spans="1:32">
      <c r="A12">
        <v>99999</v>
      </c>
      <c r="B12" cm="1">
        <f t="array" ref="B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3618.3989511562436</v>
      </c>
      <c r="C12" cm="1">
        <f t="array" ref="C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4025.8619908778142</v>
      </c>
      <c r="D12" cm="1">
        <f t="array" ref="D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4500.0607973680171</v>
      </c>
      <c r="E12" cm="1">
        <f t="array" ref="E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5069.3884234250972</v>
      </c>
      <c r="F12" cm="1">
        <f t="array" ref="F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5817.2942827729712</v>
      </c>
      <c r="G12" cm="1">
        <f t="array" ref="G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6827.0439994220587</v>
      </c>
      <c r="H12" cm="1">
        <f t="array" ref="H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8134.4604626438168</v>
      </c>
      <c r="I12" cm="1">
        <f t="array" ref="I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9939.4410746896174</v>
      </c>
      <c r="J12" cm="1">
        <f t="array" ref="J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13097.869258508432</v>
      </c>
      <c r="K12" cm="1">
        <f t="array" ref="K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17029.572512397084</v>
      </c>
      <c r="L12" cm="1">
        <f t="array" ref="L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12897.726236586414</v>
      </c>
      <c r="M12" cm="1">
        <f t="array" ref="M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12886.150941611761</v>
      </c>
      <c r="N12" cm="1">
        <f t="array" ref="N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17571.8905374514</v>
      </c>
      <c r="O12" cm="1">
        <f t="array" ref="O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19864.534148363713</v>
      </c>
      <c r="P12" cm="1">
        <f t="array" ref="P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Q12" cm="1">
        <f t="array" ref="Q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18264.243397647671</v>
      </c>
      <c r="R12" cm="1">
        <f t="array" ref="R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18772.507662882723</v>
      </c>
      <c r="S12" cm="1">
        <f t="array" ref="S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T12" cm="1">
        <f t="array" ref="T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24502.221337093109</v>
      </c>
      <c r="U12" cm="1">
        <f t="array" ref="U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13561.332391993377</v>
      </c>
      <c r="V12" cm="1">
        <f t="array" ref="V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8657.2882472243655</v>
      </c>
      <c r="W12" cm="1">
        <f t="array" ref="W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6280.5173195147827</v>
      </c>
      <c r="X12" cm="1">
        <f t="array" ref="X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5035.5467322526847</v>
      </c>
      <c r="Y12" cm="1">
        <f t="array" ref="Y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4341.0393175200843</v>
      </c>
      <c r="Z12" cm="1">
        <f t="array" ref="Z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3906.0268318558037</v>
      </c>
      <c r="AA12" cm="1">
        <f t="array" ref="AA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3568.3253790141271</v>
      </c>
      <c r="AB12" cm="1">
        <f t="array" ref="AB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3243.735936685965</v>
      </c>
      <c r="AC12" cm="1">
        <f t="array" ref="AC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2915.0377349929731</v>
      </c>
      <c r="AD12" cm="1">
        <f t="array" ref="AD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2593.8737635428038</v>
      </c>
      <c r="AE12" cm="1">
        <f t="array" ref="AE1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2290.1280922667747</v>
      </c>
      <c r="AF12">
        <v>99999</v>
      </c>
    </row>
    <row r="13" spans="1:32">
      <c r="A13">
        <v>99999</v>
      </c>
      <c r="B13" cm="1">
        <f t="array" ref="B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3564.3991189995368</v>
      </c>
      <c r="C13" cm="1">
        <f t="array" ref="C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3939.3726049322568</v>
      </c>
      <c r="D13" cm="1">
        <f t="array" ref="D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4404.0168212032968</v>
      </c>
      <c r="E13" cm="1">
        <f t="array" ref="E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5001.8136468816247</v>
      </c>
      <c r="F13" cm="1">
        <f t="array" ref="F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5835.7169923276988</v>
      </c>
      <c r="G13" cm="1">
        <f t="array" ref="G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7141.0359725656317</v>
      </c>
      <c r="H13" cm="1">
        <f t="array" ref="H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9456.5765416367067</v>
      </c>
      <c r="I13" cm="1">
        <f t="array" ref="I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14176.812905413879</v>
      </c>
      <c r="J13" cm="1">
        <f t="array" ref="J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24864.486015532013</v>
      </c>
      <c r="K13" cm="1">
        <f t="array" ref="K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L13" cm="1">
        <f t="array" ref="L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18679.283144584388</v>
      </c>
      <c r="M13" cm="1">
        <f t="array" ref="M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18131.272813540814</v>
      </c>
      <c r="N13" cm="1">
        <f t="array" ref="N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O13" cm="1">
        <f t="array" ref="O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20942.334269456202</v>
      </c>
      <c r="P13" cm="1">
        <f t="array" ref="P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19446.853217295098</v>
      </c>
      <c r="Q13" cm="1">
        <f t="array" ref="Q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14751.604700708378</v>
      </c>
      <c r="R13" cm="1">
        <f t="array" ref="R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15204.963463241302</v>
      </c>
      <c r="S13" cm="1">
        <f t="array" ref="S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25475.845040007058</v>
      </c>
      <c r="T13" cm="1">
        <f t="array" ref="T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U13" cm="1">
        <f t="array" ref="U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24336.462421116081</v>
      </c>
      <c r="V13" cm="1">
        <f t="array" ref="V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12157.303239358615</v>
      </c>
      <c r="W13" cm="1">
        <f t="array" ref="W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7427.6632026945017</v>
      </c>
      <c r="X13" cm="1">
        <f t="array" ref="X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5609.3346983298334</v>
      </c>
      <c r="Y13" cm="1">
        <f t="array" ref="Y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4712.7149427008289</v>
      </c>
      <c r="Z13" cm="1">
        <f t="array" ref="Z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4171.2875047715079</v>
      </c>
      <c r="AA13" cm="1">
        <f t="array" ref="AA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3787.067940348657</v>
      </c>
      <c r="AB13" cm="1">
        <f t="array" ref="AB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3476.8046275119591</v>
      </c>
      <c r="AC13" cm="1">
        <f t="array" ref="AC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3193.5042587791227</v>
      </c>
      <c r="AD13" cm="1">
        <f t="array" ref="AD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2897.945093243557</v>
      </c>
      <c r="AE13" cm="1">
        <f t="array" ref="AE1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2572.8739285272163</v>
      </c>
      <c r="AF13">
        <v>99999</v>
      </c>
    </row>
    <row r="14" spans="1:32">
      <c r="A14">
        <v>99999</v>
      </c>
      <c r="B14" cm="1">
        <f t="array" ref="B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3596.3626100649412</v>
      </c>
      <c r="C14" cm="1">
        <f t="array" ref="C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3988.517231802613</v>
      </c>
      <c r="D14" cm="1">
        <f t="array" ref="D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4494.9973522032178</v>
      </c>
      <c r="E14" cm="1">
        <f t="array" ref="E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5172.1064106733229</v>
      </c>
      <c r="F14" cm="1">
        <f t="array" ref="F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6169.1809132055014</v>
      </c>
      <c r="G14" cm="1">
        <f t="array" ref="G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7998.8259730707914</v>
      </c>
      <c r="H14" cm="1">
        <f t="array" ref="H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12637.75180463972</v>
      </c>
      <c r="I14" cm="1">
        <f t="array" ref="I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24657.531865102697</v>
      </c>
      <c r="J14" cm="1">
        <f t="array" ref="J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K14" cm="1">
        <f t="array" ref="K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25310.474485273906</v>
      </c>
      <c r="L14" cm="1">
        <f t="array" ref="L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14617.598572454484</v>
      </c>
      <c r="M14" cm="1">
        <f t="array" ref="M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13564.769249172818</v>
      </c>
      <c r="N14" cm="1">
        <f t="array" ref="N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17824.503099551181</v>
      </c>
      <c r="O14" cm="1">
        <f t="array" ref="O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16591.278587845041</v>
      </c>
      <c r="P14" cm="1">
        <f t="array" ref="P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18802.595335612004</v>
      </c>
      <c r="Q14" cm="1">
        <f t="array" ref="Q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13942.12719995529</v>
      </c>
      <c r="R14" cm="1">
        <f t="array" ref="R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12136.206506106389</v>
      </c>
      <c r="S14" cm="1">
        <f t="array" ref="S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15177.794610502871</v>
      </c>
      <c r="T14" cm="1">
        <f t="array" ref="T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25068.680014980961</v>
      </c>
      <c r="U14" cm="1">
        <f t="array" ref="U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V14" cm="1">
        <f t="array" ref="V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16465.754596885818</v>
      </c>
      <c r="W14" cm="1">
        <f t="array" ref="W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8405.0171904907747</v>
      </c>
      <c r="X14" cm="1">
        <f t="array" ref="X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6278.9703999473822</v>
      </c>
      <c r="Y14" cm="1">
        <f t="array" ref="Y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5289.3379333159237</v>
      </c>
      <c r="Z14" cm="1">
        <f t="array" ref="Z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4689.7890145239044</v>
      </c>
      <c r="AA14" cm="1">
        <f t="array" ref="AA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4280.509669427136</v>
      </c>
      <c r="AB14" cm="1">
        <f t="array" ref="AB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4005.6575987320157</v>
      </c>
      <c r="AC14" cm="1">
        <f t="array" ref="AC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3803.8300354482703</v>
      </c>
      <c r="AD14" cm="1">
        <f t="array" ref="AD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3535.9622836542039</v>
      </c>
      <c r="AE14" cm="1">
        <f t="array" ref="AE1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3103.4949319491757</v>
      </c>
      <c r="AF14">
        <v>99999</v>
      </c>
    </row>
    <row r="15" spans="1:32">
      <c r="A15">
        <v>99999</v>
      </c>
      <c r="B15" cm="1">
        <f t="array" ref="B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3691.2672231972579</v>
      </c>
      <c r="C15" cm="1">
        <f t="array" ref="C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4140.1975435025397</v>
      </c>
      <c r="D15" cm="1">
        <f t="array" ref="D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4745.1285583565368</v>
      </c>
      <c r="E15" cm="1">
        <f t="array" ref="E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5568.0392100158415</v>
      </c>
      <c r="F15" cm="1">
        <f t="array" ref="F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6739.4262169570848</v>
      </c>
      <c r="G15" cm="1">
        <f t="array" ref="G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8854.681550138228</v>
      </c>
      <c r="H15" cm="1">
        <f t="array" ref="H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16708.451266854525</v>
      </c>
      <c r="I15" cm="1">
        <f t="array" ref="I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J15" cm="1">
        <f t="array" ref="J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24915.391322909742</v>
      </c>
      <c r="K15" cm="1">
        <f t="array" ref="K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14682.133785860889</v>
      </c>
      <c r="L15" cm="1">
        <f t="array" ref="L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10767.219715538713</v>
      </c>
      <c r="M15" cm="1">
        <f t="array" ref="M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9951.8259748461969</v>
      </c>
      <c r="N15" cm="1">
        <f t="array" ref="N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10989.17881555537</v>
      </c>
      <c r="O15" cm="1">
        <f t="array" ref="O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17044.004423744129</v>
      </c>
      <c r="P15" cm="1">
        <f t="array" ref="P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Q15" cm="1">
        <f t="array" ref="Q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16490.978342817245</v>
      </c>
      <c r="R15" cm="1">
        <f t="array" ref="R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10469.396500603252</v>
      </c>
      <c r="S15" cm="1">
        <f t="array" ref="S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10771.532980754118</v>
      </c>
      <c r="T15" cm="1">
        <f t="array" ref="T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13686.606617611349</v>
      </c>
      <c r="U15" cm="1">
        <f t="array" ref="U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17720.920782463661</v>
      </c>
      <c r="V15" cm="1">
        <f t="array" ref="V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12864.618410265037</v>
      </c>
      <c r="W15" cm="1">
        <f t="array" ref="W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9076.3129043210974</v>
      </c>
      <c r="X15" cm="1">
        <f t="array" ref="X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7222.6748122769286</v>
      </c>
      <c r="Y15" cm="1">
        <f t="array" ref="Y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6257.2356087069347</v>
      </c>
      <c r="Z15" cm="1">
        <f t="array" ref="Z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5591.1063679170675</v>
      </c>
      <c r="AA15" cm="1">
        <f t="array" ref="AA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5122.3978093139995</v>
      </c>
      <c r="AB15" cm="1">
        <f t="array" ref="AB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4957.6122051328048</v>
      </c>
      <c r="AC15" cm="1">
        <f t="array" ref="AC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5130.6057481047328</v>
      </c>
      <c r="AD15" cm="1">
        <f t="array" ref="AD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5128.6779568987567</v>
      </c>
      <c r="AE15" cm="1">
        <f t="array" ref="AE1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4249.3774729007437</v>
      </c>
      <c r="AF15">
        <v>99999</v>
      </c>
    </row>
    <row r="16" spans="1:32">
      <c r="A16">
        <v>99999</v>
      </c>
      <c r="B16" cm="1">
        <f t="array" ref="B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3834.3906670844872</v>
      </c>
      <c r="C16" cm="1">
        <f t="array" ref="C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4385.978639344733</v>
      </c>
      <c r="D16" cm="1">
        <f t="array" ref="D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5190.0553029706443</v>
      </c>
      <c r="E16" cm="1">
        <f t="array" ref="E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6359.0714064254407</v>
      </c>
      <c r="F16" cm="1">
        <f t="array" ref="F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7956.2800706064791</v>
      </c>
      <c r="G16" cm="1">
        <f t="array" ref="G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9805.6552618771275</v>
      </c>
      <c r="H16" cm="1">
        <f t="array" ref="H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12679.59033544671</v>
      </c>
      <c r="I16" cm="1">
        <f t="array" ref="I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17193.785039407903</v>
      </c>
      <c r="J16" cm="1">
        <f t="array" ref="J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13195.574177047882</v>
      </c>
      <c r="K16" cm="1">
        <f t="array" ref="K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10022.084470446303</v>
      </c>
      <c r="L16" cm="1">
        <f t="array" ref="L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8545.5442806873962</v>
      </c>
      <c r="M16" cm="1">
        <f t="array" ref="M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8129.5440539944784</v>
      </c>
      <c r="N16" cm="1">
        <f t="array" ref="N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8700.4372793596249</v>
      </c>
      <c r="O16" cm="1">
        <f t="array" ref="O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11238.176172803864</v>
      </c>
      <c r="P16" cm="1">
        <f t="array" ref="P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15425.625801140748</v>
      </c>
      <c r="Q16" cm="1">
        <f t="array" ref="Q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11180.976029257135</v>
      </c>
      <c r="R16" cm="1">
        <f t="array" ref="R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8799.7639473321051</v>
      </c>
      <c r="S16" cm="1">
        <f t="array" ref="S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8730.6882833989566</v>
      </c>
      <c r="T16" cm="1">
        <f t="array" ref="T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9979.1954277538007</v>
      </c>
      <c r="U16" cm="1">
        <f t="array" ref="U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12896.475647493515</v>
      </c>
      <c r="V16" cm="1">
        <f t="array" ref="V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16560.445549492077</v>
      </c>
      <c r="W16" cm="1">
        <f t="array" ref="W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11717.037175660043</v>
      </c>
      <c r="X16" cm="1">
        <f t="array" ref="X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9110.7980445189423</v>
      </c>
      <c r="Y16" cm="1">
        <f t="array" ref="Y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8370.6642130901782</v>
      </c>
      <c r="Z16" cm="1">
        <f t="array" ref="Z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7354.1270380426859</v>
      </c>
      <c r="AA16" cm="1">
        <f t="array" ref="AA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6507.7215222969398</v>
      </c>
      <c r="AB16" cm="1">
        <f t="array" ref="AB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6538.8866958029348</v>
      </c>
      <c r="AC16" cm="1">
        <f t="array" ref="AC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8536.5137115955149</v>
      </c>
      <c r="AD16" cm="1">
        <f t="array" ref="AD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12163.468516384497</v>
      </c>
      <c r="AE16" cm="1">
        <f t="array" ref="AE1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7282.4557976748929</v>
      </c>
      <c r="AF16">
        <v>99999</v>
      </c>
    </row>
    <row r="17" spans="1:32">
      <c r="A17">
        <v>99999</v>
      </c>
      <c r="B17" cm="1">
        <f t="array" ref="B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4006.2985316778008</v>
      </c>
      <c r="C17" cm="1">
        <f t="array" ref="C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4709.8925848494255</v>
      </c>
      <c r="D17" cm="1">
        <f t="array" ref="D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5890.2472837896694</v>
      </c>
      <c r="E17" cm="1">
        <f t="array" ref="E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7990.626158012582</v>
      </c>
      <c r="F17" cm="1">
        <f t="array" ref="F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11834.831042895135</v>
      </c>
      <c r="G17" cm="1">
        <f t="array" ref="G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16520.555109730289</v>
      </c>
      <c r="H17" cm="1">
        <f t="array" ref="H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12632.970540191522</v>
      </c>
      <c r="I17" cm="1">
        <f t="array" ref="I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10324.621758312358</v>
      </c>
      <c r="J17" cm="1">
        <f t="array" ref="J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9006.8017447258135</v>
      </c>
      <c r="K17" cm="1">
        <f t="array" ref="K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7922.3891078373063</v>
      </c>
      <c r="L17" cm="1">
        <f t="array" ref="L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7271.1153495102781</v>
      </c>
      <c r="M17" cm="1">
        <f t="array" ref="M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7050.494098278099</v>
      </c>
      <c r="N17" cm="1">
        <f t="array" ref="N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7242.4395867390667</v>
      </c>
      <c r="O17" cm="1">
        <f t="array" ref="O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7813.1737992751132</v>
      </c>
      <c r="P17" cm="1">
        <f t="array" ref="P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8247.1000020910542</v>
      </c>
      <c r="Q17" cm="1">
        <f t="array" ref="Q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7875.3070690054647</v>
      </c>
      <c r="R17" cm="1">
        <f t="array" ref="R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7471.9343381832859</v>
      </c>
      <c r="S17" cm="1">
        <f t="array" ref="S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7675.3777330975945</v>
      </c>
      <c r="T17" cm="1">
        <f t="array" ref="T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8979.3036270954162</v>
      </c>
      <c r="U17" cm="1">
        <f t="array" ref="U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15659.537750089781</v>
      </c>
      <c r="V17" cm="1">
        <f t="array" ref="V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W17" cm="1">
        <f t="array" ref="W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16720.947602937689</v>
      </c>
      <c r="X17" cm="1">
        <f t="array" ref="X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13222.230573049686</v>
      </c>
      <c r="Y17" cm="1">
        <f t="array" ref="Y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16598.839948145658</v>
      </c>
      <c r="Z17" cm="1">
        <f t="array" ref="Z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11635.688293120349</v>
      </c>
      <c r="AA17" cm="1">
        <f t="array" ref="AA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8795.6395969285622</v>
      </c>
      <c r="AB17" cm="1">
        <f t="array" ref="AB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8812.678657256416</v>
      </c>
      <c r="AC17" cm="1">
        <f t="array" ref="AC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14044.792952883434</v>
      </c>
      <c r="AD17" cm="1">
        <f t="array" ref="AD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AE17" cm="1">
        <f t="array" ref="AE1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11897.519017124641</v>
      </c>
      <c r="AF17">
        <v>99999</v>
      </c>
    </row>
    <row r="18" spans="1:32">
      <c r="A18">
        <v>99999</v>
      </c>
      <c r="B18" cm="1">
        <f t="array" ref="B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4173.2776465578636</v>
      </c>
      <c r="C18" cm="1">
        <f t="array" ref="C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5042.4398373812237</v>
      </c>
      <c r="D18" cm="1">
        <f t="array" ref="D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6788.4792854432153</v>
      </c>
      <c r="E18" cm="1">
        <f t="array" ref="E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11292.156760301526</v>
      </c>
      <c r="F18" cm="1">
        <f t="array" ref="F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22706.657342949722</v>
      </c>
      <c r="G18" cm="1">
        <f t="array" ref="G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H18" cm="1">
        <f t="array" ref="H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16588.580715367883</v>
      </c>
      <c r="I18" cm="1">
        <f t="array" ref="I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9341.082714291153</v>
      </c>
      <c r="J18" cm="1">
        <f t="array" ref="J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7713.0124818802669</v>
      </c>
      <c r="K18" cm="1">
        <f t="array" ref="K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6991.1689880933773</v>
      </c>
      <c r="L18" cm="1">
        <f t="array" ref="L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6625.0364496639186</v>
      </c>
      <c r="M18" cm="1">
        <f t="array" ref="M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6501.7759232343788</v>
      </c>
      <c r="N18" cm="1">
        <f t="array" ref="N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6547.4246422375882</v>
      </c>
      <c r="O18" cm="1">
        <f t="array" ref="O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6673.9450583080816</v>
      </c>
      <c r="P18" cm="1">
        <f t="array" ref="P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6761.4669808928602</v>
      </c>
      <c r="Q18" cm="1">
        <f t="array" ref="Q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6757.0509943539037</v>
      </c>
      <c r="R18" cm="1">
        <f t="array" ref="R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6807.2442246200171</v>
      </c>
      <c r="S18" cm="1">
        <f t="array" ref="S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7127.9404023962234</v>
      </c>
      <c r="T18" cm="1">
        <f t="array" ref="T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8081.9739893459346</v>
      </c>
      <c r="U18" cm="1">
        <f t="array" ref="U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10971.024883526119</v>
      </c>
      <c r="V18" cm="1">
        <f t="array" ref="V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15781.673303487245</v>
      </c>
      <c r="W18" cm="1">
        <f t="array" ref="W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13396.791120014908</v>
      </c>
      <c r="X18" cm="1">
        <f t="array" ref="X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19841.249201887742</v>
      </c>
      <c r="Y18" cm="1">
        <f t="array" ref="Y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Z18" cm="1">
        <f t="array" ref="Z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19421.094243222564</v>
      </c>
      <c r="AA18" cm="1">
        <f t="array" ref="AA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12699.38763659938</v>
      </c>
      <c r="AB18" cm="1">
        <f t="array" ref="AB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15346.001551844098</v>
      </c>
      <c r="AC18" cm="1">
        <f t="array" ref="AC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12671.553665110014</v>
      </c>
      <c r="AD18" cm="1">
        <f t="array" ref="AD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13564.239135563361</v>
      </c>
      <c r="AE18" cm="1">
        <f t="array" ref="AE1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7857.1264259392301</v>
      </c>
      <c r="AF18">
        <v>99999</v>
      </c>
    </row>
    <row r="19" spans="1:32">
      <c r="A19">
        <v>99999</v>
      </c>
      <c r="B19" cm="1">
        <f t="array" ref="B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4295.5486371282623</v>
      </c>
      <c r="C19" cm="1">
        <f t="array" ref="C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5242.9414577425841</v>
      </c>
      <c r="D19" cm="1">
        <f t="array" ref="D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7316.2899735527899</v>
      </c>
      <c r="E19" cm="1">
        <f t="array" ref="E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15322.093711844131</v>
      </c>
      <c r="F19" cm="1">
        <f t="array" ref="F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G19" cm="1">
        <f t="array" ref="G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23245.357714458787</v>
      </c>
      <c r="H19" cm="1">
        <f t="array" ref="H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12559.503772625692</v>
      </c>
      <c r="I19" cm="1">
        <f t="array" ref="I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8596.4857985907402</v>
      </c>
      <c r="J19" cm="1">
        <f t="array" ref="J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7229.1449200025218</v>
      </c>
      <c r="K19" cm="1">
        <f t="array" ref="K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6659.002545141574</v>
      </c>
      <c r="L19" cm="1">
        <f t="array" ref="L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6457.9297413214235</v>
      </c>
      <c r="M19" cm="1">
        <f t="array" ref="M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6477.3403587750945</v>
      </c>
      <c r="N19" cm="1">
        <f t="array" ref="N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6545.4243061775414</v>
      </c>
      <c r="O19" cm="1">
        <f t="array" ref="O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6529.4403247112687</v>
      </c>
      <c r="P19" cm="1">
        <f t="array" ref="P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6491.7216399744912</v>
      </c>
      <c r="Q19" cm="1">
        <f t="array" ref="Q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6549.6476938177784</v>
      </c>
      <c r="R19" cm="1">
        <f t="array" ref="R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6762.4619600454344</v>
      </c>
      <c r="S19" cm="1">
        <f t="array" ref="S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7134.5591323272747</v>
      </c>
      <c r="T19" cm="1">
        <f t="array" ref="T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7645.8432016081088</v>
      </c>
      <c r="U19" cm="1">
        <f t="array" ref="U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8364.1057547985729</v>
      </c>
      <c r="V19" cm="1">
        <f t="array" ref="V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9204.8483577999632</v>
      </c>
      <c r="W19" cm="1">
        <f t="array" ref="W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10619.933072303333</v>
      </c>
      <c r="X19" cm="1">
        <f t="array" ref="X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19149.975897217475</v>
      </c>
      <c r="Y19" cm="1">
        <f t="array" ref="Y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Z19" cm="1">
        <f t="array" ref="Z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19776.130157452266</v>
      </c>
      <c r="AA19" cm="1">
        <f t="array" ref="AA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16821.453295329287</v>
      </c>
      <c r="AB19" cm="1">
        <f t="array" ref="AB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AC19" cm="1">
        <f t="array" ref="AC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14244.208142167088</v>
      </c>
      <c r="AD19" cm="1">
        <f t="array" ref="AD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7434.8723708353336</v>
      </c>
      <c r="AE19" cm="1">
        <f t="array" ref="AE1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5207.0677608869837</v>
      </c>
      <c r="AF19">
        <v>99999</v>
      </c>
    </row>
    <row r="20" spans="1:32">
      <c r="A20">
        <v>99999</v>
      </c>
      <c r="B20" cm="1">
        <f t="array" ref="B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4362.003597415307</v>
      </c>
      <c r="C20" cm="1">
        <f t="array" ref="C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5247.2729674729126</v>
      </c>
      <c r="D20" cm="1">
        <f t="array" ref="D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6902.3332407747166</v>
      </c>
      <c r="E20" cm="1">
        <f t="array" ref="E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10689.759875959884</v>
      </c>
      <c r="F20" cm="1">
        <f t="array" ref="F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16301.766322370033</v>
      </c>
      <c r="G20" cm="1">
        <f t="array" ref="G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12888.122553396162</v>
      </c>
      <c r="H20" cm="1">
        <f t="array" ref="H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9787.0589990796234</v>
      </c>
      <c r="I20" cm="1">
        <f t="array" ref="I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8075.0543736341988</v>
      </c>
      <c r="J20" cm="1">
        <f t="array" ref="J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7139.8988348064013</v>
      </c>
      <c r="K20" cm="1">
        <f t="array" ref="K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6714.3065353344218</v>
      </c>
      <c r="L20" cm="1">
        <f t="array" ref="L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6751.0546850916908</v>
      </c>
      <c r="M20" cm="1">
        <f t="array" ref="M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7246.6475713837444</v>
      </c>
      <c r="N20" cm="1">
        <f t="array" ref="N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7675.6957892502815</v>
      </c>
      <c r="O20" cm="1">
        <f t="array" ref="O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7323.0929386291291</v>
      </c>
      <c r="P20" cm="1">
        <f t="array" ref="P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6907.3022026908584</v>
      </c>
      <c r="Q20" cm="1">
        <f t="array" ref="Q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6959.7717414560775</v>
      </c>
      <c r="R20" cm="1">
        <f t="array" ref="R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7460.6143265214805</v>
      </c>
      <c r="S20" cm="1">
        <f t="array" ref="S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8247.5546725624881</v>
      </c>
      <c r="T20" cm="1">
        <f t="array" ref="T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8733.6648016466843</v>
      </c>
      <c r="U20" cm="1">
        <f t="array" ref="U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8358.1067964023259</v>
      </c>
      <c r="V20" cm="1">
        <f t="array" ref="V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8019.1497279438327</v>
      </c>
      <c r="W20" cm="1">
        <f t="array" ref="W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8639.588662379474</v>
      </c>
      <c r="X20" cm="1">
        <f t="array" ref="X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11619.419843756055</v>
      </c>
      <c r="Y20" cm="1">
        <f t="array" ref="Y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16288.95642860057</v>
      </c>
      <c r="Z20" cm="1">
        <f t="array" ref="Z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12088.370733312879</v>
      </c>
      <c r="AA20" cm="1">
        <f t="array" ref="AA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11140.785270787068</v>
      </c>
      <c r="AB20" cm="1">
        <f t="array" ref="AB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13925.654259755593</v>
      </c>
      <c r="AC20" cm="1">
        <f t="array" ref="AC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8888.7779958092233</v>
      </c>
      <c r="AD20" cm="1">
        <f t="array" ref="AD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5621.2028313747624</v>
      </c>
      <c r="AE20" cm="1">
        <f t="array" ref="AE2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4152.1723587945544</v>
      </c>
      <c r="AF20">
        <v>99999</v>
      </c>
    </row>
    <row r="21" spans="1:32">
      <c r="A21">
        <v>99999</v>
      </c>
      <c r="B21" cm="1">
        <f t="array" ref="B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4407.0826798562575</v>
      </c>
      <c r="C21" cm="1">
        <f t="array" ref="C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5200.095339086176</v>
      </c>
      <c r="D21" cm="1">
        <f t="array" ref="D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6422.079318781346</v>
      </c>
      <c r="E21" cm="1">
        <f t="array" ref="E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8222.573243214998</v>
      </c>
      <c r="F21" cm="1">
        <f t="array" ref="F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10088.046399929985</v>
      </c>
      <c r="G21" cm="1">
        <f t="array" ref="G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10629.965599468178</v>
      </c>
      <c r="H21" cm="1">
        <f t="array" ref="H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9680.3720985689815</v>
      </c>
      <c r="I21" cm="1">
        <f t="array" ref="I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8454.0833068665961</v>
      </c>
      <c r="J21" cm="1">
        <f t="array" ref="J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7536.1080670508036</v>
      </c>
      <c r="K21" cm="1">
        <f t="array" ref="K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7091.2230478941756</v>
      </c>
      <c r="L21" cm="1">
        <f t="array" ref="L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7500.0984554563338</v>
      </c>
      <c r="M21" cm="1">
        <f t="array" ref="M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10006.816938788474</v>
      </c>
      <c r="N21" cm="1">
        <f t="array" ref="N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14286.637604633568</v>
      </c>
      <c r="O21" cm="1">
        <f t="array" ref="O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10168.620404284184</v>
      </c>
      <c r="P21" cm="1">
        <f t="array" ref="P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7913.0020258707636</v>
      </c>
      <c r="Q21" cm="1">
        <f t="array" ref="Q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7976.3878525061027</v>
      </c>
      <c r="R21" cm="1">
        <f t="array" ref="R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9372.3781730319442</v>
      </c>
      <c r="S21" cm="1">
        <f t="array" ref="S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12414.090631219286</v>
      </c>
      <c r="T21" cm="1">
        <f t="array" ref="T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16092.730906189325</v>
      </c>
      <c r="U21" cm="1">
        <f t="array" ref="U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11041.657594546508</v>
      </c>
      <c r="V21" cm="1">
        <f t="array" ref="V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8011.8907106646948</v>
      </c>
      <c r="W21" cm="1">
        <f t="array" ref="W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7337.0054190728224</v>
      </c>
      <c r="X21" cm="1">
        <f t="array" ref="X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7693.3811165312054</v>
      </c>
      <c r="Y21" cm="1">
        <f t="array" ref="Y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8088.5776028769042</v>
      </c>
      <c r="Z21" cm="1">
        <f t="array" ref="Z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7646.3742756236725</v>
      </c>
      <c r="AA21" cm="1">
        <f t="array" ref="AA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7147.264668624679</v>
      </c>
      <c r="AB21" cm="1">
        <f t="array" ref="AB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6706.7153731995722</v>
      </c>
      <c r="AC21" cm="1">
        <f t="array" ref="AC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5600.8911492661746</v>
      </c>
      <c r="AD21" cm="1">
        <f t="array" ref="AD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4407.4233852195903</v>
      </c>
      <c r="AE21" cm="1">
        <f t="array" ref="AE2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3536.4739651264745</v>
      </c>
      <c r="AF21">
        <v>99999</v>
      </c>
    </row>
    <row r="22" spans="1:32">
      <c r="A22">
        <v>99999</v>
      </c>
      <c r="B22" cm="1">
        <f t="array" ref="B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4473.0819507371034</v>
      </c>
      <c r="C22" cm="1">
        <f t="array" ref="C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5246.7707620830533</v>
      </c>
      <c r="D22" cm="1">
        <f t="array" ref="D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6410.8328076909993</v>
      </c>
      <c r="E22" cm="1">
        <f t="array" ref="E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8302.2624379498084</v>
      </c>
      <c r="F22" cm="1">
        <f t="array" ref="F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12019.29709375223</v>
      </c>
      <c r="G22" cm="1">
        <f t="array" ref="G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17053.121463540519</v>
      </c>
      <c r="H22" cm="1">
        <f t="array" ref="H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13223.911283415933</v>
      </c>
      <c r="I22" cm="1">
        <f t="array" ref="I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10487.48025685707</v>
      </c>
      <c r="J22" cm="1">
        <f t="array" ref="J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8746.0716305018577</v>
      </c>
      <c r="K22" cm="1">
        <f t="array" ref="K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7712.3280622790298</v>
      </c>
      <c r="L22" cm="1">
        <f t="array" ref="L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8164.2015669300799</v>
      </c>
      <c r="M22" cm="1">
        <f t="array" ref="M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14395.708892341248</v>
      </c>
      <c r="N22" cm="1">
        <f t="array" ref="N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O22" cm="1">
        <f t="array" ref="O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14669.561311141077</v>
      </c>
      <c r="P22" cm="1">
        <f t="array" ref="P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8950.9898180982909</v>
      </c>
      <c r="Q22" cm="1">
        <f t="array" ref="Q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9686.372626324448</v>
      </c>
      <c r="R22" cm="1">
        <f t="array" ref="R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13787.47520973781</v>
      </c>
      <c r="S22" cm="1">
        <f t="array" ref="S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24088.043161504331</v>
      </c>
      <c r="T22" cm="1">
        <f t="array" ref="T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U22" cm="1">
        <f t="array" ref="U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15832.212309136805</v>
      </c>
      <c r="V22" cm="1">
        <f t="array" ref="V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8176.7499946364842</v>
      </c>
      <c r="W22" cm="1">
        <f t="array" ref="W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6649.8952718727433</v>
      </c>
      <c r="X22" cm="1">
        <f t="array" ref="X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6345.2615189191611</v>
      </c>
      <c r="Y22" cm="1">
        <f t="array" ref="Y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6327.0043110756569</v>
      </c>
      <c r="Z22" cm="1">
        <f t="array" ref="Z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6146.1865525434114</v>
      </c>
      <c r="AA22" cm="1">
        <f t="array" ref="AA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5705.8132427546261</v>
      </c>
      <c r="AB22" cm="1">
        <f t="array" ref="AB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5102.2373928817569</v>
      </c>
      <c r="AC22" cm="1">
        <f t="array" ref="AC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4402.1946204951819</v>
      </c>
      <c r="AD22" cm="1">
        <f t="array" ref="AD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3718.0467220989726</v>
      </c>
      <c r="AE22" cm="1">
        <f t="array" ref="AE22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3143.2876071627925</v>
      </c>
      <c r="AF22">
        <v>99999</v>
      </c>
    </row>
    <row r="23" spans="1:32">
      <c r="A23">
        <v>99999</v>
      </c>
      <c r="B23" cm="1">
        <f t="array" ref="B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4575.5063533745079</v>
      </c>
      <c r="C23" cm="1">
        <f t="array" ref="C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5402.5187228202067</v>
      </c>
      <c r="D23" cm="1">
        <f t="array" ref="D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6713.2548413635959</v>
      </c>
      <c r="E23" cm="1">
        <f t="array" ref="E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9207.6057452471832</v>
      </c>
      <c r="F23" cm="1">
        <f t="array" ref="F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17414.271587404648</v>
      </c>
      <c r="G23" cm="1">
        <f t="array" ref="G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H23" cm="1">
        <f t="array" ref="H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21490.256321762543</v>
      </c>
      <c r="I23" cm="1">
        <f t="array" ref="I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18253.763927727203</v>
      </c>
      <c r="J23" cm="1">
        <f t="array" ref="J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11924.588783495881</v>
      </c>
      <c r="K23" cm="1">
        <f t="array" ref="K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8480.9629571943624</v>
      </c>
      <c r="L23" cm="1">
        <f t="array" ref="L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7952.9974280885726</v>
      </c>
      <c r="M23" cm="1">
        <f t="array" ref="M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10158.125605600113</v>
      </c>
      <c r="N23" cm="1">
        <f t="array" ref="N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14404.857333118467</v>
      </c>
      <c r="O23" cm="1">
        <f t="array" ref="O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10522.632564886093</v>
      </c>
      <c r="P23" cm="1">
        <f t="array" ref="P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9179.1919945783466</v>
      </c>
      <c r="Q23" cm="1">
        <f t="array" ref="Q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12628.265217063854</v>
      </c>
      <c r="R23" cm="1">
        <f t="array" ref="R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24099.830371040985</v>
      </c>
      <c r="S23" cm="1">
        <f t="array" ref="S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T23" cm="1">
        <f t="array" ref="T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23800.011244422858</v>
      </c>
      <c r="U23" cm="1">
        <f t="array" ref="U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11890.836722193822</v>
      </c>
      <c r="V23" cm="1">
        <f t="array" ref="V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7509.0214757038602</v>
      </c>
      <c r="W23" cm="1">
        <f t="array" ref="W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6177.4113157131369</v>
      </c>
      <c r="X23" cm="1">
        <f t="array" ref="X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5966.7462616086605</v>
      </c>
      <c r="Y23" cm="1">
        <f t="array" ref="Y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6317.9506718576677</v>
      </c>
      <c r="Z23" cm="1">
        <f t="array" ref="Z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6507.3728874375065</v>
      </c>
      <c r="AA23" cm="1">
        <f t="array" ref="AA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5753.5678016172078</v>
      </c>
      <c r="AB23" cm="1">
        <f t="array" ref="AB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4738.540986949215</v>
      </c>
      <c r="AC23" cm="1">
        <f t="array" ref="AC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3953.2283574223434</v>
      </c>
      <c r="AD23" cm="1">
        <f t="array" ref="AD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3363.7396186924284</v>
      </c>
      <c r="AE23" cm="1">
        <f t="array" ref="AE23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2904.6546738526044</v>
      </c>
      <c r="AF23">
        <v>99999</v>
      </c>
    </row>
    <row r="24" spans="1:32">
      <c r="A24">
        <v>99999</v>
      </c>
      <c r="B24" cm="1">
        <f t="array" ref="B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4708.6384715318145</v>
      </c>
      <c r="C24" cm="1">
        <f t="array" ref="C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5631.7974556462887</v>
      </c>
      <c r="D24" cm="1">
        <f t="array" ref="D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7137.0867377629138</v>
      </c>
      <c r="E24" cm="1">
        <f t="array" ref="E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9980.8155533800509</v>
      </c>
      <c r="F24" cm="1">
        <f t="array" ref="F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16773.508195510858</v>
      </c>
      <c r="G24" cm="1">
        <f t="array" ref="G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27454.252599361909</v>
      </c>
      <c r="H24" cm="1">
        <f t="array" ref="H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25718.073428483938</v>
      </c>
      <c r="I24" cm="1">
        <f t="array" ref="I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J24" cm="1">
        <f t="array" ref="J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16722.849912216072</v>
      </c>
      <c r="K24" cm="1">
        <f t="array" ref="K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8940.2813142132036</v>
      </c>
      <c r="L24" cm="1">
        <f t="array" ref="L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7400.3780439137909</v>
      </c>
      <c r="M24" cm="1">
        <f t="array" ref="M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7404.7592229958163</v>
      </c>
      <c r="N24" cm="1">
        <f t="array" ref="N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7768.1300751297676</v>
      </c>
      <c r="O24" cm="1">
        <f t="array" ref="O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7756.4661193362454</v>
      </c>
      <c r="P24" cm="1">
        <f t="array" ref="P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8723.8091533474799</v>
      </c>
      <c r="Q24" cm="1">
        <f t="array" ref="Q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15988.657396880735</v>
      </c>
      <c r="R24" cm="1">
        <f t="array" ref="R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S24" cm="1">
        <f t="array" ref="S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23717.167736155599</v>
      </c>
      <c r="T24" cm="1">
        <f t="array" ref="T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13112.129487736935</v>
      </c>
      <c r="U24" cm="1">
        <f t="array" ref="U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8501.4347286335797</v>
      </c>
      <c r="V24" cm="1">
        <f t="array" ref="V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6471.9847319413047</v>
      </c>
      <c r="W24" cm="1">
        <f t="array" ref="W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5751.5296267337362</v>
      </c>
      <c r="X24" cm="1">
        <f t="array" ref="X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6115.286548731061</v>
      </c>
      <c r="Y24" cm="1">
        <f t="array" ref="Y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8543.8350702544449</v>
      </c>
      <c r="Z24" cm="1">
        <f t="array" ref="Z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12600.00395982448</v>
      </c>
      <c r="AA24" cm="1">
        <f t="array" ref="AA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8036.3159082467846</v>
      </c>
      <c r="AB24" cm="1">
        <f t="array" ref="AB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5011.0940049380561</v>
      </c>
      <c r="AC24" cm="1">
        <f t="array" ref="AC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3815.9902431854757</v>
      </c>
      <c r="AD24" cm="1">
        <f t="array" ref="AD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3186.7107080141423</v>
      </c>
      <c r="AE24" cm="1">
        <f t="array" ref="AE24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2768.3926097367648</v>
      </c>
      <c r="AF24">
        <v>99999</v>
      </c>
    </row>
    <row r="25" spans="1:32">
      <c r="A25">
        <v>99999</v>
      </c>
      <c r="B25" cm="1">
        <f t="array" ref="B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4861.8634788037634</v>
      </c>
      <c r="C25" cm="1">
        <f t="array" ref="C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5921.1999936434195</v>
      </c>
      <c r="D25" cm="1">
        <f t="array" ref="D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7701.0113799213277</v>
      </c>
      <c r="E25" cm="1">
        <f t="array" ref="E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11060.674324418525</v>
      </c>
      <c r="F25" cm="1">
        <f t="array" ref="F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20423.171156489127</v>
      </c>
      <c r="G25" cm="1">
        <f t="array" ref="G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H25" cm="1">
        <f t="array" ref="H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30101.221910959164</v>
      </c>
      <c r="I25" cm="1">
        <f t="array" ref="I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22193.186894704464</v>
      </c>
      <c r="J25" cm="1">
        <f t="array" ref="J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12988.736174092775</v>
      </c>
      <c r="K25" cm="1">
        <f t="array" ref="K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8440.3917469576627</v>
      </c>
      <c r="L25" cm="1">
        <f t="array" ref="L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6867.3457132308531</v>
      </c>
      <c r="M25" cm="1">
        <f t="array" ref="M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6398.7882288835845</v>
      </c>
      <c r="N25" cm="1">
        <f t="array" ref="N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6381.9439983201401</v>
      </c>
      <c r="O25" cm="1">
        <f t="array" ref="O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6635.2640144909819</v>
      </c>
      <c r="P25" cm="1">
        <f t="array" ref="P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7556.1714460471749</v>
      </c>
      <c r="Q25" cm="1">
        <f t="array" ref="Q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10588.007797796407</v>
      </c>
      <c r="R25" cm="1">
        <f t="array" ref="R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15527.468533667356</v>
      </c>
      <c r="S25" cm="1">
        <f t="array" ref="S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11667.538526329898</v>
      </c>
      <c r="T25" cm="1">
        <f t="array" ref="T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8362.0766833889065</v>
      </c>
      <c r="U25" cm="1">
        <f t="array" ref="U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6532.5365173229584</v>
      </c>
      <c r="V25" cm="1">
        <f t="array" ref="V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5553.6220913726629</v>
      </c>
      <c r="W25" cm="1">
        <f t="array" ref="W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5285.2693790184585</v>
      </c>
      <c r="X25" cm="1">
        <f t="array" ref="X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6151.2934895247445</v>
      </c>
      <c r="Y25" cm="1">
        <f t="array" ref="Y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12483.090216639921</v>
      </c>
      <c r="Z25" cm="1">
        <f t="array" ref="Z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AA25" cm="1">
        <f t="array" ref="AA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12052.194334413865</v>
      </c>
      <c r="AB25" cm="1">
        <f t="array" ref="AB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5227.5094582143729</v>
      </c>
      <c r="AC25" cm="1">
        <f t="array" ref="AC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3723.5179513180969</v>
      </c>
      <c r="AD25" cm="1">
        <f t="array" ref="AD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3084.1886346021424</v>
      </c>
      <c r="AE25" cm="1">
        <f t="array" ref="AE25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2699.4602743067412</v>
      </c>
      <c r="AF25">
        <v>99999</v>
      </c>
    </row>
    <row r="26" spans="1:32">
      <c r="A26">
        <v>99999</v>
      </c>
      <c r="B26" cm="1">
        <f t="array" ref="B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5021.949513872135</v>
      </c>
      <c r="C26" cm="1">
        <f t="array" ref="C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6274.0644289694592</v>
      </c>
      <c r="D26" cm="1">
        <f t="array" ref="D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8551.2299767130553</v>
      </c>
      <c r="E26" cm="1">
        <f t="array" ref="E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13540.377278084061</v>
      </c>
      <c r="F26" cm="1">
        <f t="array" ref="F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22681.298823137578</v>
      </c>
      <c r="G26" cm="1">
        <f t="array" ref="G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29862.54956704942</v>
      </c>
      <c r="H26" cm="1">
        <f t="array" ref="H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I26" cm="1">
        <f t="array" ref="I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19316.981138444291</v>
      </c>
      <c r="J26" cm="1">
        <f t="array" ref="J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10433.185179832622</v>
      </c>
      <c r="K26" cm="1">
        <f t="array" ref="K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7592.0303906818162</v>
      </c>
      <c r="L26" cm="1">
        <f t="array" ref="L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6362.3804377529395</v>
      </c>
      <c r="M26" cm="1">
        <f t="array" ref="M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5902.9543566844441</v>
      </c>
      <c r="N26" cm="1">
        <f t="array" ref="N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5881.4054258814285</v>
      </c>
      <c r="O26" cm="1">
        <f t="array" ref="O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6150.8261559523244</v>
      </c>
      <c r="P26" cm="1">
        <f t="array" ref="P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6637.9112156509364</v>
      </c>
      <c r="Q26" cm="1">
        <f t="array" ref="Q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7303.6089661469305</v>
      </c>
      <c r="R26" cm="1">
        <f t="array" ref="R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7701.7593732835439</v>
      </c>
      <c r="S26" cm="1">
        <f t="array" ref="S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7097.7879064552426</v>
      </c>
      <c r="T26" cm="1">
        <f t="array" ref="T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6101.2242903114793</v>
      </c>
      <c r="U26" cm="1">
        <f t="array" ref="U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5294.4118570559085</v>
      </c>
      <c r="V26" cm="1">
        <f t="array" ref="V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4803.1976437083395</v>
      </c>
      <c r="W26" cm="1">
        <f t="array" ref="W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4710.2254559986213</v>
      </c>
      <c r="X26" cm="1">
        <f t="array" ref="X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5326.541036622265</v>
      </c>
      <c r="Y26" cm="1">
        <f t="array" ref="Y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7871.6744590445051</v>
      </c>
      <c r="Z26" cm="1">
        <f t="array" ref="Z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12009.345547995565</v>
      </c>
      <c r="AA26" cm="1">
        <f t="array" ref="AA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7531.1401037320147</v>
      </c>
      <c r="AB26" cm="1">
        <f t="array" ref="AB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4607.745412491412</v>
      </c>
      <c r="AC26" cm="1">
        <f t="array" ref="AC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3528.9332154973031</v>
      </c>
      <c r="AD26" cm="1">
        <f t="array" ref="AD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3015.7607657010817</v>
      </c>
      <c r="AE26" cm="1">
        <f t="array" ref="AE26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2693.1029641967039</v>
      </c>
      <c r="AF26">
        <v>99999</v>
      </c>
    </row>
    <row r="27" spans="1:32">
      <c r="A27">
        <v>99999</v>
      </c>
      <c r="B27" cm="1">
        <f t="array" ref="B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5164.2142336029801</v>
      </c>
      <c r="C27" cm="1">
        <f t="array" ref="C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6677.0990326576175</v>
      </c>
      <c r="D27" cm="1">
        <f t="array" ref="D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9667.0185729432287</v>
      </c>
      <c r="E27" cm="1">
        <f t="array" ref="E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18387.697233853538</v>
      </c>
      <c r="F27" cm="1">
        <f t="array" ref="F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G27" cm="1">
        <f t="array" ref="G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23954.380737854306</v>
      </c>
      <c r="H27" cm="1">
        <f t="array" ref="H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20465.501359545113</v>
      </c>
      <c r="I27" cm="1">
        <f t="array" ref="I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13195.188766625914</v>
      </c>
      <c r="J27" cm="1">
        <f t="array" ref="J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8745.2009713824773</v>
      </c>
      <c r="K27" cm="1">
        <f t="array" ref="K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6802.1044359942407</v>
      </c>
      <c r="L27" cm="1">
        <f t="array" ref="L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5904.2765201200718</v>
      </c>
      <c r="M27" cm="1">
        <f t="array" ref="M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5611.5400741351523</v>
      </c>
      <c r="N27" cm="1">
        <f t="array" ref="N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5812.0078330234392</v>
      </c>
      <c r="O27" cm="1">
        <f t="array" ref="O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6465.3004151395799</v>
      </c>
      <c r="P27" cm="1">
        <f t="array" ref="P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7029.3110016449591</v>
      </c>
      <c r="Q27" cm="1">
        <f t="array" ref="Q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6729.2446392103948</v>
      </c>
      <c r="R27" cm="1">
        <f t="array" ref="R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6104.4725086579538</v>
      </c>
      <c r="S27" cm="1">
        <f t="array" ref="S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5505.708941784208</v>
      </c>
      <c r="T27" cm="1">
        <f t="array" ref="T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4948.7894883027147</v>
      </c>
      <c r="U27" cm="1">
        <f t="array" ref="U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4496.85110163216</v>
      </c>
      <c r="V27" cm="1">
        <f t="array" ref="V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4204.686782537281</v>
      </c>
      <c r="W27" cm="1">
        <f t="array" ref="W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4123.2028701001054</v>
      </c>
      <c r="X27" cm="1">
        <f t="array" ref="X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4331.2387332340204</v>
      </c>
      <c r="Y27" cm="1">
        <f t="array" ref="Y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4861.5800412218077</v>
      </c>
      <c r="Z27" cm="1">
        <f t="array" ref="Z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5197.4529130423298</v>
      </c>
      <c r="AA27" cm="1">
        <f t="array" ref="AA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4621.1101911318074</v>
      </c>
      <c r="AB27" cm="1">
        <f t="array" ref="AB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3834.1342596659911</v>
      </c>
      <c r="AC27" cm="1">
        <f t="array" ref="AC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3327.9198191417108</v>
      </c>
      <c r="AD27" cm="1">
        <f t="array" ref="AD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3026.2415426168773</v>
      </c>
      <c r="AE27" cm="1">
        <f t="array" ref="AE27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2795.7062604201451</v>
      </c>
      <c r="AF27">
        <v>99999</v>
      </c>
    </row>
    <row r="28" spans="1:32">
      <c r="A28">
        <v>99999</v>
      </c>
      <c r="B28" cm="1">
        <f t="array" ref="B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5234.5708256997923</v>
      </c>
      <c r="C28" cm="1">
        <f t="array" ref="C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7106.1350904332076</v>
      </c>
      <c r="D28" cm="1">
        <f t="array" ref="D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11711.684638712215</v>
      </c>
      <c r="E28" cm="1">
        <f t="array" ref="E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20434.04479484211</v>
      </c>
      <c r="F28" cm="1">
        <f t="array" ref="F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24093.946435251717</v>
      </c>
      <c r="G28" cm="1">
        <f t="array" ref="G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22287.486193285818</v>
      </c>
      <c r="H28" cm="1">
        <f t="array" ref="H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14688.919065963761</v>
      </c>
      <c r="I28" cm="1">
        <f t="array" ref="I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9887.7004349859762</v>
      </c>
      <c r="J28" cm="1">
        <f t="array" ref="J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7406.2163449957879</v>
      </c>
      <c r="K28" cm="1">
        <f t="array" ref="K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6101.3660143125071</v>
      </c>
      <c r="L28" cm="1">
        <f t="array" ref="L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5485.10081159528</v>
      </c>
      <c r="M28" cm="1">
        <f t="array" ref="M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5411.3809068171158</v>
      </c>
      <c r="N28" cm="1">
        <f t="array" ref="N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6111.3254198964323</v>
      </c>
      <c r="O28" cm="1">
        <f t="array" ref="O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8779.690052871134</v>
      </c>
      <c r="P28" cm="1">
        <f t="array" ref="P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13067.414376394485</v>
      </c>
      <c r="Q28" cm="1">
        <f t="array" ref="Q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8738.6030372214027</v>
      </c>
      <c r="R28" cm="1">
        <f t="array" ref="R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5916.7046559894552</v>
      </c>
      <c r="S28" cm="1">
        <f t="array" ref="S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4860.4584157536119</v>
      </c>
      <c r="T28" cm="1">
        <f t="array" ref="T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4314.7638396006123</v>
      </c>
      <c r="U28" cm="1">
        <f t="array" ref="U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3964.5338896406934</v>
      </c>
      <c r="V28" cm="1">
        <f t="array" ref="V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3742.1948260476611</v>
      </c>
      <c r="W28" cm="1">
        <f t="array" ref="W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3639.4321260703987</v>
      </c>
      <c r="X28" cm="1">
        <f t="array" ref="X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3653.1188724609519</v>
      </c>
      <c r="Y28" cm="1">
        <f t="array" ref="Y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3735.7789060613272</v>
      </c>
      <c r="Z28" cm="1">
        <f t="array" ref="Z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3751.5575232259866</v>
      </c>
      <c r="AA28" cm="1">
        <f t="array" ref="AA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3604.815598119761</v>
      </c>
      <c r="AB28" cm="1">
        <f t="array" ref="AB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3404.9589357010068</v>
      </c>
      <c r="AC28" cm="1">
        <f t="array" ref="AC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3290.0254589819565</v>
      </c>
      <c r="AD28" cm="1">
        <f t="array" ref="AD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3257.9194436744233</v>
      </c>
      <c r="AE28" cm="1">
        <f t="array" ref="AE28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3165.9447335783957</v>
      </c>
      <c r="AF28">
        <v>99999</v>
      </c>
    </row>
    <row r="29" spans="1:32">
      <c r="A29">
        <v>99999</v>
      </c>
      <c r="B29" cm="1">
        <f t="array" ref="B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5124.7072122753489</v>
      </c>
      <c r="C29" cm="1">
        <f t="array" ref="C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7153.1433009210987</v>
      </c>
      <c r="D29" cm="1">
        <f t="array" ref="D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15021.13266495732</v>
      </c>
      <c r="E29" cm="1">
        <f t="array" ref="E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F29" cm="1">
        <f t="array" ref="F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24951.317419914412</v>
      </c>
      <c r="G29" cm="1">
        <f t="array" ref="G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H29" cm="1">
        <f t="array" ref="H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16265.733911837258</v>
      </c>
      <c r="I29" cm="1">
        <f t="array" ref="I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8535.8358494101158</v>
      </c>
      <c r="J29" cm="1">
        <f t="array" ref="J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6444.314299630706</v>
      </c>
      <c r="K29" cm="1">
        <f t="array" ref="K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5487.6897997662436</v>
      </c>
      <c r="L29" cm="1">
        <f t="array" ref="L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5071.4494066046846</v>
      </c>
      <c r="M29" cm="1">
        <f t="array" ref="M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5150.442169889684</v>
      </c>
      <c r="N29" cm="1">
        <f t="array" ref="N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6240.9409442446031</v>
      </c>
      <c r="O29" cm="1">
        <f t="array" ref="O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12740.860957949151</v>
      </c>
      <c r="P29" cm="1">
        <f t="array" ref="P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Q29" cm="1">
        <f t="array" ref="Q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12591.046182380473</v>
      </c>
      <c r="R29" cm="1">
        <f t="array" ref="R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5881.046948153763</v>
      </c>
      <c r="S29" cm="1">
        <f t="array" ref="S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4466.3598361546965</v>
      </c>
      <c r="T29" cm="1">
        <f t="array" ref="T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3898.0025303921166</v>
      </c>
      <c r="U29" cm="1">
        <f t="array" ref="U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3583.9945768180978</v>
      </c>
      <c r="V29" cm="1">
        <f t="array" ref="V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3390.0511835792322</v>
      </c>
      <c r="W29" cm="1">
        <f t="array" ref="W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3277.7113052813252</v>
      </c>
      <c r="X29" cm="1">
        <f t="array" ref="X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3227.6756460327306</v>
      </c>
      <c r="Y29" cm="1">
        <f t="array" ref="Y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3213.8817109362062</v>
      </c>
      <c r="Z29" cm="1">
        <f t="array" ref="Z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3204.2440942942917</v>
      </c>
      <c r="AA29" cm="1">
        <f t="array" ref="AA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3198.4964102300969</v>
      </c>
      <c r="AB29" cm="1">
        <f t="array" ref="AB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3267.0255406608899</v>
      </c>
      <c r="AC29" cm="1">
        <f t="array" ref="AC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3539.81147395888</v>
      </c>
      <c r="AD29" cm="1">
        <f t="array" ref="AD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4088.928861468823</v>
      </c>
      <c r="AE29" cm="1">
        <f t="array" ref="AE29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4416.8959735084627</v>
      </c>
      <c r="AF29">
        <v>99999</v>
      </c>
    </row>
    <row r="30" spans="1:32">
      <c r="A30">
        <v>99999</v>
      </c>
      <c r="B30" cm="1">
        <f t="array" ref="B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4777.5113179642822</v>
      </c>
      <c r="C30" cm="1">
        <f t="array" ref="C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6234.264512750573</v>
      </c>
      <c r="D30" cm="1">
        <f t="array" ref="D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9814.5289259685396</v>
      </c>
      <c r="E30" cm="1">
        <f t="array" ref="E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15530.651530166902</v>
      </c>
      <c r="F30" cm="1">
        <f t="array" ref="F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14307.063094327223</v>
      </c>
      <c r="G30" cm="1">
        <f t="array" ref="G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15886.234158942996</v>
      </c>
      <c r="H30" cm="1">
        <f t="array" ref="H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10436.336363265425</v>
      </c>
      <c r="I30" cm="1">
        <f t="array" ref="I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6998.2357752637645</v>
      </c>
      <c r="J30" cm="1">
        <f t="array" ref="J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5599.1724207566958</v>
      </c>
      <c r="K30" cm="1">
        <f t="array" ref="K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4926.1507582110753</v>
      </c>
      <c r="L30" cm="1">
        <f t="array" ref="L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4639.4797994318278</v>
      </c>
      <c r="M30" cm="1">
        <f t="array" ref="M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4722.024889390219</v>
      </c>
      <c r="N30" cm="1">
        <f t="array" ref="N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5474.5374316896869</v>
      </c>
      <c r="O30" cm="1">
        <f t="array" ref="O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8126.8116074262052</v>
      </c>
      <c r="P30" cm="1">
        <f t="array" ref="P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12351.736101857989</v>
      </c>
      <c r="Q30" cm="1">
        <f t="array" ref="Q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7943.8036355291506</v>
      </c>
      <c r="R30" cm="1">
        <f t="array" ref="R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5073.3116151222812</v>
      </c>
      <c r="S30" cm="1">
        <f t="array" ref="S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4033.3172750473536</v>
      </c>
      <c r="T30" cm="1">
        <f t="array" ref="T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3557.187522469233</v>
      </c>
      <c r="U30" cm="1">
        <f t="array" ref="U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3288.2404264173661</v>
      </c>
      <c r="V30" cm="1">
        <f t="array" ref="V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3118.734883033354</v>
      </c>
      <c r="W30" cm="1">
        <f t="array" ref="W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3010.9414304988186</v>
      </c>
      <c r="X30" cm="1">
        <f t="array" ref="X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2948.0406581721754</v>
      </c>
      <c r="Y30" cm="1">
        <f t="array" ref="Y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2920.2767424762073</v>
      </c>
      <c r="Z30" cm="1">
        <f t="array" ref="Z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2928.9935368592301</v>
      </c>
      <c r="AA30" cm="1">
        <f t="array" ref="AA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3008.7948054194494</v>
      </c>
      <c r="AB30" cm="1">
        <f t="array" ref="AB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3279.0380605630485</v>
      </c>
      <c r="AC30" cm="1">
        <f t="array" ref="AC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4113.0012867074784</v>
      </c>
      <c r="AD30" cm="1">
        <f t="array" ref="AD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6785.8524324776499</v>
      </c>
      <c r="AE30" cm="1">
        <f t="array" ref="AE30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11000.066006395044</v>
      </c>
      <c r="AF30">
        <v>99999</v>
      </c>
    </row>
    <row r="31" spans="1:32">
      <c r="A31">
        <v>99999</v>
      </c>
      <c r="B31" cm="1">
        <f t="array" ref="B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4326.0090524753587</v>
      </c>
      <c r="C31" cm="1">
        <f t="array" ref="C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5119.4067719737686</v>
      </c>
      <c r="D31" cm="1">
        <f t="array" ref="D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6307.9857716761562</v>
      </c>
      <c r="E31" cm="1">
        <f t="array" ref="E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7451.6469497424796</v>
      </c>
      <c r="F31" cm="1">
        <f t="array" ref="F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7839.6173020422902</v>
      </c>
      <c r="G31" cm="1">
        <f t="array" ref="G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7637.6929681779066</v>
      </c>
      <c r="H31" cm="1">
        <f t="array" ref="H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6646.2057983908044</v>
      </c>
      <c r="I31" cm="1">
        <f t="array" ref="I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5561.7724149662417</v>
      </c>
      <c r="J31" cm="1">
        <f t="array" ref="J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4837.3905353128584</v>
      </c>
      <c r="K31" cm="1">
        <f t="array" ref="K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4412.180713154914</v>
      </c>
      <c r="L31" cm="1">
        <f t="array" ref="L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4209.2927316274818</v>
      </c>
      <c r="M31" cm="1">
        <f t="array" ref="M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4221.8477743737567</v>
      </c>
      <c r="N31" cm="1">
        <f t="array" ref="N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4509.5479860475998</v>
      </c>
      <c r="O31" cm="1">
        <f t="array" ref="O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5100.4939811182276</v>
      </c>
      <c r="P31" cm="1">
        <f t="array" ref="P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5476.1272057122696</v>
      </c>
      <c r="Q31" cm="1">
        <f t="array" ref="Q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4915.8195376769736</v>
      </c>
      <c r="R31" cm="1">
        <f t="array" ref="R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4118.9050828088493</v>
      </c>
      <c r="S31" cm="1">
        <f t="array" ref="S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3582.6866504383529</v>
      </c>
      <c r="T31" cm="1">
        <f t="array" ref="T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3255.737805442961</v>
      </c>
      <c r="U31" cm="1">
        <f t="array" ref="U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3046.2161626777211</v>
      </c>
      <c r="V31" cm="1">
        <f t="array" ref="V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2905.1702583930937</v>
      </c>
      <c r="W31" cm="1">
        <f t="array" ref="W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2810.0571866843629</v>
      </c>
      <c r="X31" cm="1">
        <f t="array" ref="X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2751.2025534471368</v>
      </c>
      <c r="Y31" cm="1">
        <f t="array" ref="Y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2727.7754275009229</v>
      </c>
      <c r="Z31" cm="1">
        <f t="array" ref="Z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2753.1875559382497</v>
      </c>
      <c r="AA31" cm="1">
        <f t="array" ref="AA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2875.9497585708104</v>
      </c>
      <c r="AB31" cm="1">
        <f t="array" ref="AB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3250.267255419395</v>
      </c>
      <c r="AC31" cm="1">
        <f t="array" ref="AC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4487.344383030535</v>
      </c>
      <c r="AD31" cm="1">
        <f t="array" ref="AD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11041.043946473364</v>
      </c>
      <c r="AE31" cm="1">
        <f t="array" ref="AE31">IF(AND(COLUMN()-1=Sheet1!$AF$4, 32-ROW()=Sheet1!$AG$4), 0, IF(COUNTIFS(Sheet1!$AK$2:$AK$51, COLUMN()-1, Sheet1!$AL$2:$AL$51, 32-ROW())&gt;0, 99999, Sheet1!$AR$1*((COLUMN()-1-Sheet1!$AF$4)^2+(32-ROW()-Sheet1!$AG$4)^2) + Sheet1!$AR$2*SUMPRODUCT((Sheet1!$AK$2:$AK$51&lt;&gt;"")*(1/(((COLUMN()-1-Sheet1!$AK$2:$AK$51)^2+(32-ROW()-Sheet1!$AL$2:$AL$51)^2)+0.1)))))</f>
        <v>99999</v>
      </c>
      <c r="AF31">
        <v>99999</v>
      </c>
    </row>
    <row r="32" spans="1:32">
      <c r="A32">
        <v>99999</v>
      </c>
      <c r="B32">
        <v>99999</v>
      </c>
      <c r="C32">
        <v>99999</v>
      </c>
      <c r="D32">
        <v>99999</v>
      </c>
      <c r="E32">
        <v>99999</v>
      </c>
      <c r="F32">
        <v>99999</v>
      </c>
      <c r="G32">
        <v>99999</v>
      </c>
      <c r="H32">
        <v>99999</v>
      </c>
      <c r="I32">
        <v>99999</v>
      </c>
      <c r="J32">
        <v>99999</v>
      </c>
      <c r="K32">
        <v>99999</v>
      </c>
      <c r="L32">
        <v>99999</v>
      </c>
      <c r="M32">
        <v>99999</v>
      </c>
      <c r="N32">
        <v>99999</v>
      </c>
      <c r="O32">
        <v>99999</v>
      </c>
      <c r="P32">
        <v>99999</v>
      </c>
      <c r="Q32">
        <v>99999</v>
      </c>
      <c r="R32">
        <v>99999</v>
      </c>
      <c r="S32">
        <v>99999</v>
      </c>
      <c r="T32">
        <v>99999</v>
      </c>
      <c r="U32">
        <v>99999</v>
      </c>
      <c r="V32">
        <v>99999</v>
      </c>
      <c r="W32">
        <v>99999</v>
      </c>
      <c r="X32">
        <v>99999</v>
      </c>
      <c r="Y32">
        <v>99999</v>
      </c>
      <c r="Z32">
        <v>99999</v>
      </c>
      <c r="AA32">
        <v>99999</v>
      </c>
      <c r="AB32">
        <v>99999</v>
      </c>
      <c r="AC32">
        <v>99999</v>
      </c>
      <c r="AD32">
        <v>99999</v>
      </c>
      <c r="AE32">
        <v>99999</v>
      </c>
      <c r="AF32">
        <v>99999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加城 上官</cp:lastModifiedBy>
  <dcterms:created xsi:type="dcterms:W3CDTF">2023-05-12T11:15:00Z</dcterms:created>
  <dcterms:modified xsi:type="dcterms:W3CDTF">2026-03-20T03:50:04Z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